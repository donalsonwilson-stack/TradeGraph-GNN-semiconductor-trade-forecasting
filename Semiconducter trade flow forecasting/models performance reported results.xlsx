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Thesis\PhD Data Science &amp; AI\mes articles\mes articles\GNN\"/>
    </mc:Choice>
  </mc:AlternateContent>
  <xr:revisionPtr revIDLastSave="0" documentId="13_ncr:1_{06C03D14-D8BA-4E70-9AE4-F11F1CAB0057}" xr6:coauthVersionLast="36" xr6:coauthVersionMax="36" xr10:uidLastSave="{00000000-0000-0000-0000-000000000000}"/>
  <bookViews>
    <workbookView xWindow="0" yWindow="0" windowWidth="20490" windowHeight="6645" activeTab="4" xr2:uid="{36224672-FB61-47E4-B814-8BC8069955F1}"/>
  </bookViews>
  <sheets>
    <sheet name="GCN" sheetId="1" r:id="rId1"/>
    <sheet name="GAT" sheetId="6" r:id="rId2"/>
    <sheet name="GraphSAGE" sheetId="9" r:id="rId3"/>
    <sheet name="TradeGraph" sheetId="10" r:id="rId4"/>
    <sheet name="Comparison Table" sheetId="1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M20" i="1"/>
  <c r="M19" i="1"/>
  <c r="L21" i="1"/>
  <c r="L20" i="1"/>
  <c r="L19" i="1"/>
  <c r="K21" i="1"/>
  <c r="K20" i="1"/>
  <c r="K19" i="1"/>
  <c r="J21" i="1"/>
  <c r="J20" i="1"/>
  <c r="J19" i="1"/>
  <c r="M21" i="6"/>
  <c r="M20" i="6"/>
  <c r="M19" i="6"/>
  <c r="L21" i="6"/>
  <c r="L20" i="6"/>
  <c r="L19" i="6"/>
  <c r="K21" i="6"/>
  <c r="K20" i="6"/>
  <c r="K19" i="6"/>
  <c r="J21" i="6"/>
  <c r="J20" i="6"/>
  <c r="J19" i="6"/>
  <c r="M21" i="9"/>
  <c r="M20" i="9"/>
  <c r="M19" i="9"/>
  <c r="L21" i="9"/>
  <c r="L20" i="9"/>
  <c r="L19" i="9"/>
  <c r="K21" i="9"/>
  <c r="K20" i="9"/>
  <c r="K19" i="9"/>
  <c r="J21" i="9"/>
  <c r="J20" i="9"/>
  <c r="J19" i="9"/>
  <c r="M21" i="10"/>
  <c r="M20" i="10"/>
  <c r="M19" i="10"/>
  <c r="L21" i="10"/>
  <c r="L20" i="10"/>
  <c r="L19" i="10"/>
  <c r="K21" i="10"/>
  <c r="K20" i="10"/>
  <c r="K19" i="10"/>
  <c r="J21" i="10"/>
  <c r="J20" i="10"/>
  <c r="J19" i="10"/>
  <c r="P3" i="11"/>
  <c r="P4" i="11"/>
  <c r="P5" i="11"/>
  <c r="P6" i="11"/>
  <c r="P7" i="11"/>
  <c r="P8" i="11"/>
  <c r="P9" i="11"/>
  <c r="P10" i="11"/>
  <c r="P11" i="11"/>
  <c r="P12" i="11"/>
  <c r="P13" i="11"/>
  <c r="O3" i="11"/>
  <c r="O4" i="11"/>
  <c r="O5" i="11"/>
  <c r="O6" i="11"/>
  <c r="O7" i="11"/>
  <c r="O8" i="11"/>
  <c r="O9" i="11"/>
  <c r="O10" i="11"/>
  <c r="O11" i="11"/>
  <c r="O12" i="11"/>
  <c r="O13" i="11"/>
  <c r="N3" i="11"/>
  <c r="N4" i="11"/>
  <c r="N5" i="11"/>
  <c r="N6" i="11"/>
  <c r="N7" i="11"/>
  <c r="N8" i="11"/>
  <c r="N9" i="11"/>
  <c r="N10" i="11"/>
  <c r="N11" i="11"/>
  <c r="N12" i="11"/>
  <c r="N13" i="11"/>
  <c r="N2" i="11"/>
  <c r="O2" i="11"/>
  <c r="P2" i="11"/>
  <c r="M3" i="11"/>
  <c r="M4" i="11"/>
  <c r="M5" i="11"/>
  <c r="M6" i="11"/>
  <c r="M7" i="11"/>
  <c r="M8" i="11"/>
  <c r="M9" i="11"/>
  <c r="M10" i="11"/>
  <c r="M11" i="11"/>
  <c r="M12" i="11"/>
  <c r="M13" i="11"/>
  <c r="M2" i="11"/>
  <c r="S11" i="10"/>
  <c r="R11" i="10"/>
  <c r="Q11" i="10"/>
  <c r="P11" i="10"/>
  <c r="M11" i="10"/>
  <c r="L11" i="10"/>
  <c r="K11" i="10"/>
  <c r="J11" i="10"/>
  <c r="G11" i="10"/>
  <c r="F11" i="10"/>
  <c r="E11" i="10"/>
  <c r="D11" i="10"/>
  <c r="S10" i="10"/>
  <c r="R10" i="10"/>
  <c r="Q10" i="10"/>
  <c r="P10" i="10"/>
  <c r="M10" i="10"/>
  <c r="L10" i="10"/>
  <c r="K10" i="10"/>
  <c r="J10" i="10"/>
  <c r="G10" i="10"/>
  <c r="F10" i="10"/>
  <c r="E10" i="10"/>
  <c r="D10" i="10"/>
  <c r="S11" i="9"/>
  <c r="R11" i="9"/>
  <c r="Q11" i="9"/>
  <c r="P11" i="9"/>
  <c r="M11" i="9"/>
  <c r="L11" i="9"/>
  <c r="K11" i="9"/>
  <c r="J11" i="9"/>
  <c r="G11" i="9"/>
  <c r="F11" i="9"/>
  <c r="E11" i="9"/>
  <c r="D11" i="9"/>
  <c r="S10" i="9"/>
  <c r="R10" i="9"/>
  <c r="Q10" i="9"/>
  <c r="P10" i="9"/>
  <c r="M10" i="9"/>
  <c r="L10" i="9"/>
  <c r="K10" i="9"/>
  <c r="J10" i="9"/>
  <c r="G10" i="9"/>
  <c r="F10" i="9"/>
  <c r="E10" i="9"/>
  <c r="D10" i="9"/>
  <c r="S11" i="6" l="1"/>
  <c r="R11" i="6"/>
  <c r="Q11" i="6"/>
  <c r="P11" i="6"/>
  <c r="M11" i="6"/>
  <c r="L11" i="6"/>
  <c r="K11" i="6"/>
  <c r="J11" i="6"/>
  <c r="G11" i="6"/>
  <c r="F11" i="6"/>
  <c r="E11" i="6"/>
  <c r="D11" i="6"/>
  <c r="S10" i="6"/>
  <c r="R10" i="6"/>
  <c r="Q10" i="6"/>
  <c r="P10" i="6"/>
  <c r="M10" i="6"/>
  <c r="L10" i="6"/>
  <c r="K10" i="6"/>
  <c r="J10" i="6"/>
  <c r="G10" i="6"/>
  <c r="F10" i="6"/>
  <c r="E10" i="6"/>
  <c r="D10" i="6"/>
  <c r="Q10" i="1"/>
  <c r="Q11" i="1"/>
  <c r="R11" i="1"/>
  <c r="S11" i="1"/>
  <c r="P11" i="1"/>
  <c r="J11" i="1"/>
  <c r="S10" i="1"/>
  <c r="P10" i="1"/>
  <c r="R10" i="1"/>
  <c r="J10" i="1"/>
  <c r="L11" i="1"/>
  <c r="M11" i="1"/>
  <c r="K11" i="1"/>
  <c r="M10" i="1"/>
  <c r="K10" i="1"/>
  <c r="L10" i="1"/>
  <c r="E11" i="1"/>
  <c r="F11" i="1"/>
  <c r="G11" i="1"/>
  <c r="D11" i="1"/>
  <c r="G10" i="1"/>
  <c r="E10" i="1"/>
  <c r="F10" i="1"/>
  <c r="D10" i="1"/>
</calcChain>
</file>

<file path=xl/sharedStrings.xml><?xml version="1.0" encoding="utf-8"?>
<sst xmlns="http://schemas.openxmlformats.org/spreadsheetml/2006/main" count="276" uniqueCount="76">
  <si>
    <t>Training</t>
  </si>
  <si>
    <t>Validation</t>
  </si>
  <si>
    <t>Test</t>
  </si>
  <si>
    <t>RMSE</t>
  </si>
  <si>
    <t>MAE</t>
  </si>
  <si>
    <t>MSE</t>
  </si>
  <si>
    <t>Mean</t>
  </si>
  <si>
    <t>Std</t>
  </si>
  <si>
    <t>TEST PERFORMANCE</t>
  </si>
  <si>
    <t>TRAIN PERFORMANCE</t>
  </si>
  <si>
    <t>VALIDATION PERFORMANCE</t>
  </si>
  <si>
    <r>
      <t>R</t>
    </r>
    <r>
      <rPr>
        <vertAlign val="superscript"/>
        <sz val="11"/>
        <color theme="1"/>
        <rFont val="Consolas"/>
        <family val="3"/>
      </rPr>
      <t>2</t>
    </r>
  </si>
  <si>
    <t>Run 1 : Seed = 42</t>
  </si>
  <si>
    <t>Run 2 : Seed = 52</t>
  </si>
  <si>
    <t>Run 3 : Seed = 62</t>
  </si>
  <si>
    <t>Run 4 : Seed = 72</t>
  </si>
  <si>
    <t>Run 5 : Seed = 82</t>
  </si>
  <si>
    <t>Model</t>
  </si>
  <si>
    <t>GCN</t>
  </si>
  <si>
    <r>
      <t>R</t>
    </r>
    <r>
      <rPr>
        <b/>
        <vertAlign val="superscript"/>
        <sz val="11"/>
        <color theme="1"/>
        <rFont val="Consolas"/>
        <family val="3"/>
      </rPr>
      <t>2</t>
    </r>
    <r>
      <rPr>
        <b/>
        <sz val="11"/>
        <color theme="1"/>
        <rFont val="Consolas"/>
        <family val="3"/>
      </rPr>
      <t xml:space="preserve"> </t>
    </r>
  </si>
  <si>
    <t>RMSE (Billion USD)</t>
  </si>
  <si>
    <t>MSE (Billion USD²)</t>
  </si>
  <si>
    <t>MAE (Billion USD)</t>
  </si>
  <si>
    <t>Data Split</t>
  </si>
  <si>
    <t>GAT</t>
  </si>
  <si>
    <t>GraphSAGE</t>
  </si>
  <si>
    <t>TradeGraph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</si>
  <si>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</si>
  <si>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0,8265 ± 0,0356</t>
  </si>
  <si>
    <t>0,2643 ± 0,0260</t>
  </si>
  <si>
    <t>0,0704 ± 0,0144</t>
  </si>
  <si>
    <t>0,0173 ± 0,0018</t>
  </si>
  <si>
    <t>0,9338 ± 0,0123</t>
  </si>
  <si>
    <t>0,3237 ± 0,0302</t>
  </si>
  <si>
    <t>0,1055 ± 0,0197</t>
  </si>
  <si>
    <t>0,0190 ± 0,0011</t>
  </si>
  <si>
    <t>0,9434 ± 0,0306</t>
  </si>
  <si>
    <t>0,3478 ± 0,0864</t>
  </si>
  <si>
    <t>0,1270 ± 0,0688</t>
  </si>
  <si>
    <t>0,0245 ± 0,0035</t>
  </si>
  <si>
    <t>0,7992 ± 0,0470</t>
  </si>
  <si>
    <t>0,2839 ± 0,0327</t>
  </si>
  <si>
    <t>0,0815 ± 0,0191</t>
  </si>
  <si>
    <t>0,0182 ± 0,0030</t>
  </si>
  <si>
    <t>0,9190 ± 0,0360</t>
  </si>
  <si>
    <t>0,3521 ± 0,0803</t>
  </si>
  <si>
    <t>0,1291 ± 0,0573</t>
  </si>
  <si>
    <t>0,0209 ± 0,0035</t>
  </si>
  <si>
    <t>0,9266 ± 0,0302</t>
  </si>
  <si>
    <t>0,3989 ± 0,0840</t>
  </si>
  <si>
    <t>0,1648 ± 0,0679</t>
  </si>
  <si>
    <t>0,0265 ± 0,0038</t>
  </si>
  <si>
    <t>0,6707 ± 0,3288</t>
  </si>
  <si>
    <t>0,3392 ± 0,1520</t>
  </si>
  <si>
    <t>0,1336 ± 0,1334</t>
  </si>
  <si>
    <t>0,0228 ± 0,0112</t>
  </si>
  <si>
    <t>0,9254 ± 0,0493</t>
  </si>
  <si>
    <t>0,3300 ± 0,1119</t>
  </si>
  <si>
    <t>0,1189 ± 0,0785</t>
  </si>
  <si>
    <t>0,0204 ± 0,0050</t>
  </si>
  <si>
    <t>0,9197 ± 0,0516</t>
  </si>
  <si>
    <t>0,4080 ± 0,1316</t>
  </si>
  <si>
    <t>0,1803 ± 0,1159</t>
  </si>
  <si>
    <t>0,0279 ± 0,0065</t>
  </si>
  <si>
    <t>0,8523 ± 0,0305</t>
  </si>
  <si>
    <t>0,2438 ± 0,0243</t>
  </si>
  <si>
    <t>0,0599 ± 0,0124</t>
  </si>
  <si>
    <t>0,0154 ± 0,0018</t>
  </si>
  <si>
    <t>0,9480 ± 0,0152</t>
  </si>
  <si>
    <t>0,2852 ± 0,0446</t>
  </si>
  <si>
    <t>0,0830 ± 0,0241</t>
  </si>
  <si>
    <t>0,0179 ± 0,0015</t>
  </si>
  <si>
    <t>0,9482 ± 0,0064</t>
  </si>
  <si>
    <t>0,3404 ± 0,0209</t>
  </si>
  <si>
    <t>0,1163 ± 0,0145</t>
  </si>
  <si>
    <t>0,0241 ± 0,0014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</si>
</sst>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vertAlign val="superscript"/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theme="1"/>
      <name val="Consolas"/>
      <family val="3"/>
    </font>
    <font>
      <b/>
      <vertAlign val="superscript"/>
      <sz val="11"/>
      <color theme="1"/>
      <name val="Consolas"/>
      <family val="3"/>
    </font>
    <font>
      <b/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1" xfId="0" applyBorder="1"/>
    <xf numFmtId="0" fontId="2" fillId="0" borderId="0" xfId="0" applyFont="1"/>
    <xf numFmtId="0" fontId="2" fillId="0" borderId="2" xfId="0" applyFont="1" applyBorder="1"/>
    <xf numFmtId="0" fontId="5" fillId="0" borderId="5" xfId="0" applyFont="1" applyBorder="1"/>
    <xf numFmtId="0" fontId="5" fillId="0" borderId="0" xfId="0" applyFont="1"/>
    <xf numFmtId="0" fontId="5" fillId="0" borderId="3" xfId="0" applyFont="1" applyBorder="1"/>
    <xf numFmtId="0" fontId="6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164" fontId="5" fillId="0" borderId="0" xfId="0" applyNumberFormat="1" applyFont="1" applyBorder="1"/>
    <xf numFmtId="164" fontId="5" fillId="0" borderId="4" xfId="0" applyNumberFormat="1" applyFont="1" applyBorder="1"/>
    <xf numFmtId="0" fontId="1" fillId="0" borderId="0" xfId="0" applyFont="1" applyBorder="1"/>
    <xf numFmtId="0" fontId="1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BD51-2AB5-4F99-A518-D671CD1607E7}">
  <dimension ref="C2:S21"/>
  <sheetViews>
    <sheetView topLeftCell="C1" zoomScale="73" zoomScaleNormal="73" workbookViewId="0">
      <selection activeCell="J19" sqref="J19:M21"/>
    </sheetView>
  </sheetViews>
  <sheetFormatPr baseColWidth="10" defaultRowHeight="15" x14ac:dyDescent="0.25"/>
  <cols>
    <col min="3" max="3" width="16" customWidth="1"/>
    <col min="4" max="8" width="13.7109375" customWidth="1"/>
    <col min="9" max="9" width="16" customWidth="1"/>
    <col min="10" max="10" width="18.140625" customWidth="1"/>
    <col min="11" max="11" width="18.28515625" customWidth="1"/>
    <col min="12" max="12" width="18.85546875" customWidth="1"/>
    <col min="13" max="13" width="16.7109375" customWidth="1"/>
    <col min="14" max="14" width="13.7109375" customWidth="1"/>
    <col min="15" max="15" width="16" customWidth="1"/>
    <col min="16" max="19" width="13.7109375" customWidth="1"/>
  </cols>
  <sheetData>
    <row r="2" spans="3:19" x14ac:dyDescent="0.25">
      <c r="C2" s="3"/>
      <c r="D2" s="17" t="s">
        <v>9</v>
      </c>
      <c r="E2" s="18"/>
      <c r="F2" s="19"/>
      <c r="G2" s="3"/>
      <c r="H2" s="3"/>
      <c r="I2" s="3"/>
      <c r="J2" s="17" t="s">
        <v>10</v>
      </c>
      <c r="K2" s="18"/>
      <c r="L2" s="19"/>
      <c r="M2" s="3"/>
      <c r="N2" s="3"/>
      <c r="O2" s="3"/>
      <c r="P2" s="17" t="s">
        <v>8</v>
      </c>
      <c r="Q2" s="18"/>
      <c r="R2" s="19"/>
      <c r="S2" s="3"/>
    </row>
    <row r="3" spans="3:19" ht="16.5" x14ac:dyDescent="0.25">
      <c r="C3" s="4"/>
      <c r="D3" s="9" t="s">
        <v>5</v>
      </c>
      <c r="E3" s="9" t="s">
        <v>3</v>
      </c>
      <c r="F3" s="9" t="s">
        <v>4</v>
      </c>
      <c r="G3" s="10" t="s">
        <v>11</v>
      </c>
      <c r="H3" s="3"/>
      <c r="I3" s="4"/>
      <c r="J3" s="9" t="s">
        <v>5</v>
      </c>
      <c r="K3" s="9" t="s">
        <v>3</v>
      </c>
      <c r="L3" s="9" t="s">
        <v>4</v>
      </c>
      <c r="M3" s="10" t="s">
        <v>11</v>
      </c>
      <c r="N3" s="3"/>
      <c r="O3" s="4"/>
      <c r="P3" s="9" t="s">
        <v>5</v>
      </c>
      <c r="Q3" s="9" t="s">
        <v>3</v>
      </c>
      <c r="R3" s="9" t="s">
        <v>4</v>
      </c>
      <c r="S3" s="10" t="s">
        <v>11</v>
      </c>
    </row>
    <row r="4" spans="3:19" x14ac:dyDescent="0.25">
      <c r="C4" s="5" t="s">
        <v>12</v>
      </c>
      <c r="D4" s="11">
        <v>6.2899999999999998E-2</v>
      </c>
      <c r="E4" s="11">
        <v>0.25080000000000002</v>
      </c>
      <c r="F4" s="11">
        <v>1.5900000000000001E-2</v>
      </c>
      <c r="G4" s="11">
        <v>0.84489999999999998</v>
      </c>
      <c r="H4" s="6"/>
      <c r="I4" s="5" t="s">
        <v>12</v>
      </c>
      <c r="J4" s="11">
        <v>0.1181</v>
      </c>
      <c r="K4" s="11">
        <v>0.34360000000000002</v>
      </c>
      <c r="L4" s="11">
        <v>2.0500000000000001E-2</v>
      </c>
      <c r="M4" s="11">
        <v>0.92589999999999995</v>
      </c>
      <c r="N4" s="6"/>
      <c r="O4" s="5" t="s">
        <v>12</v>
      </c>
      <c r="P4" s="11">
        <v>0.1084</v>
      </c>
      <c r="Q4" s="11">
        <v>0.32919999999999999</v>
      </c>
      <c r="R4" s="11">
        <v>2.41E-2</v>
      </c>
      <c r="S4" s="11">
        <v>0.95169999999999999</v>
      </c>
    </row>
    <row r="5" spans="3:19" x14ac:dyDescent="0.25">
      <c r="C5" s="5" t="s">
        <v>13</v>
      </c>
      <c r="D5" s="11">
        <v>7.1400000000000005E-2</v>
      </c>
      <c r="E5" s="11">
        <v>0.26719999999999999</v>
      </c>
      <c r="F5" s="11">
        <v>1.7100000000000001E-2</v>
      </c>
      <c r="G5" s="11">
        <v>0.82399999999999995</v>
      </c>
      <c r="H5" s="6"/>
      <c r="I5" s="5" t="s">
        <v>13</v>
      </c>
      <c r="J5" s="11">
        <v>8.6999999999999994E-2</v>
      </c>
      <c r="K5" s="11">
        <v>0.29499999999999998</v>
      </c>
      <c r="L5" s="11">
        <v>1.78E-2</v>
      </c>
      <c r="M5" s="11">
        <v>0.94540000000000002</v>
      </c>
      <c r="N5" s="6"/>
      <c r="O5" s="5" t="s">
        <v>13</v>
      </c>
      <c r="P5" s="11">
        <v>0.10979999999999999</v>
      </c>
      <c r="Q5" s="11">
        <v>0.33139999999999997</v>
      </c>
      <c r="R5" s="11">
        <v>2.35E-2</v>
      </c>
      <c r="S5" s="11">
        <v>0.95109999999999995</v>
      </c>
    </row>
    <row r="6" spans="3:19" x14ac:dyDescent="0.25">
      <c r="C6" s="5" t="s">
        <v>14</v>
      </c>
      <c r="D6" s="11">
        <v>9.4899999999999998E-2</v>
      </c>
      <c r="E6" s="11">
        <v>0.30809999999999998</v>
      </c>
      <c r="F6" s="11">
        <v>2.0299999999999999E-2</v>
      </c>
      <c r="G6" s="11">
        <v>0.76600000000000001</v>
      </c>
      <c r="H6" s="6"/>
      <c r="I6" s="5" t="s">
        <v>14</v>
      </c>
      <c r="J6" s="11">
        <v>0.13120000000000001</v>
      </c>
      <c r="K6" s="11">
        <v>0.36209999999999998</v>
      </c>
      <c r="L6" s="11">
        <v>1.9400000000000001E-2</v>
      </c>
      <c r="M6" s="11">
        <v>0.91769999999999996</v>
      </c>
      <c r="N6" s="6"/>
      <c r="O6" s="5" t="s">
        <v>14</v>
      </c>
      <c r="P6" s="11">
        <v>0.24790000000000001</v>
      </c>
      <c r="Q6" s="11">
        <v>0.49790000000000001</v>
      </c>
      <c r="R6" s="11">
        <v>3.0499999999999999E-2</v>
      </c>
      <c r="S6" s="11">
        <v>0.88959999999999995</v>
      </c>
    </row>
    <row r="7" spans="3:19" x14ac:dyDescent="0.25">
      <c r="C7" s="5" t="s">
        <v>15</v>
      </c>
      <c r="D7" s="11">
        <v>6.3500000000000001E-2</v>
      </c>
      <c r="E7" s="11">
        <v>0.25209999999999999</v>
      </c>
      <c r="F7" s="11">
        <v>1.7100000000000001E-2</v>
      </c>
      <c r="G7" s="11">
        <v>0.84340000000000004</v>
      </c>
      <c r="H7" s="6"/>
      <c r="I7" s="5" t="s">
        <v>15</v>
      </c>
      <c r="J7" s="11">
        <v>0.1055</v>
      </c>
      <c r="K7" s="11">
        <v>0.32479999999999998</v>
      </c>
      <c r="L7" s="11">
        <v>1.95E-2</v>
      </c>
      <c r="M7" s="11">
        <v>0.93379999999999996</v>
      </c>
      <c r="N7" s="6"/>
      <c r="O7" s="5" t="s">
        <v>15</v>
      </c>
      <c r="P7" s="11">
        <v>8.8800000000000004E-2</v>
      </c>
      <c r="Q7" s="11">
        <v>0.29799999999999999</v>
      </c>
      <c r="R7" s="11">
        <v>2.2599999999999999E-2</v>
      </c>
      <c r="S7" s="11">
        <v>0.96040000000000003</v>
      </c>
    </row>
    <row r="8" spans="3:19" x14ac:dyDescent="0.25">
      <c r="C8" s="5" t="s">
        <v>16</v>
      </c>
      <c r="D8" s="11">
        <v>5.91E-2</v>
      </c>
      <c r="E8" s="11">
        <v>0.24310000000000001</v>
      </c>
      <c r="F8" s="11">
        <v>1.5900000000000001E-2</v>
      </c>
      <c r="G8" s="11">
        <v>0.85429999999999995</v>
      </c>
      <c r="H8" s="6"/>
      <c r="I8" s="5" t="s">
        <v>16</v>
      </c>
      <c r="J8" s="11">
        <v>8.5800000000000001E-2</v>
      </c>
      <c r="K8" s="11">
        <v>0.29289999999999999</v>
      </c>
      <c r="L8" s="11">
        <v>1.7999999999999999E-2</v>
      </c>
      <c r="M8" s="11">
        <v>0.94620000000000004</v>
      </c>
      <c r="N8" s="6"/>
      <c r="O8" s="5" t="s">
        <v>16</v>
      </c>
      <c r="P8" s="11">
        <v>7.9899999999999999E-2</v>
      </c>
      <c r="Q8" s="11">
        <v>0.28270000000000001</v>
      </c>
      <c r="R8" s="11">
        <v>2.1700000000000001E-2</v>
      </c>
      <c r="S8" s="11">
        <v>0.96440000000000003</v>
      </c>
    </row>
    <row r="9" spans="3:19" x14ac:dyDescent="0.25">
      <c r="C9" s="7"/>
      <c r="D9" s="12"/>
      <c r="E9" s="12"/>
      <c r="F9" s="12"/>
      <c r="G9" s="13"/>
      <c r="H9" s="6"/>
      <c r="I9" s="7"/>
      <c r="J9" s="12"/>
      <c r="K9" s="12"/>
      <c r="L9" s="12"/>
      <c r="M9" s="13"/>
      <c r="N9" s="6"/>
      <c r="O9" s="7"/>
      <c r="P9" s="12"/>
      <c r="Q9" s="12"/>
      <c r="R9" s="12"/>
      <c r="S9" s="13"/>
    </row>
    <row r="10" spans="3:19" x14ac:dyDescent="0.25">
      <c r="C10" s="8" t="s">
        <v>6</v>
      </c>
      <c r="D10" s="11">
        <f>AVERAGE(D4:D8)</f>
        <v>7.0360000000000006E-2</v>
      </c>
      <c r="E10" s="11">
        <f t="shared" ref="E10:F10" si="0">AVERAGE(E4:E8)</f>
        <v>0.26426000000000005</v>
      </c>
      <c r="F10" s="11">
        <f t="shared" si="0"/>
        <v>1.7260000000000001E-2</v>
      </c>
      <c r="G10" s="11">
        <f>AVERAGE(G4:G8)</f>
        <v>0.82652000000000003</v>
      </c>
      <c r="H10" s="6"/>
      <c r="I10" s="8" t="s">
        <v>6</v>
      </c>
      <c r="J10" s="11">
        <f>AVERAGE(J4:J8)</f>
        <v>0.10552000000000002</v>
      </c>
      <c r="K10" s="11">
        <f t="shared" ref="K10:L10" si="1">AVERAGE(K4:K8)</f>
        <v>0.32368000000000002</v>
      </c>
      <c r="L10" s="11">
        <f t="shared" si="1"/>
        <v>1.9040000000000001E-2</v>
      </c>
      <c r="M10" s="11">
        <f>AVERAGE(M4:M8)</f>
        <v>0.93379999999999996</v>
      </c>
      <c r="N10" s="6"/>
      <c r="O10" s="8" t="s">
        <v>6</v>
      </c>
      <c r="P10" s="11">
        <f>AVERAGE(P4:P8)</f>
        <v>0.12696000000000002</v>
      </c>
      <c r="Q10" s="11">
        <f>AVERAGE(Q4:Q8)</f>
        <v>0.34784000000000004</v>
      </c>
      <c r="R10" s="11">
        <f t="shared" ref="R10" si="2">AVERAGE(R4:R8)</f>
        <v>2.4479999999999998E-2</v>
      </c>
      <c r="S10" s="11">
        <f>AVERAGE(S4:S8)</f>
        <v>0.94344000000000006</v>
      </c>
    </row>
    <row r="11" spans="3:19" x14ac:dyDescent="0.25">
      <c r="C11" s="8" t="s">
        <v>7</v>
      </c>
      <c r="D11" s="11">
        <f>_xlfn.STDEV.S(D4:D8)</f>
        <v>1.4429067883962587E-2</v>
      </c>
      <c r="E11" s="11">
        <f>_xlfn.STDEV.S(E4:E8)</f>
        <v>2.6016206487495436E-2</v>
      </c>
      <c r="F11" s="11">
        <f>_xlfn.STDEV.S(F4:F8)</f>
        <v>1.8022208521710084E-3</v>
      </c>
      <c r="G11" s="11">
        <f>_xlfn.STDEV.S(G4:G8)</f>
        <v>3.5579165251590696E-2</v>
      </c>
      <c r="H11" s="6"/>
      <c r="I11" s="8" t="s">
        <v>7</v>
      </c>
      <c r="J11" s="11">
        <f>_xlfn.STDEV.S(J4:J8)</f>
        <v>1.9682403308539272E-2</v>
      </c>
      <c r="K11" s="11">
        <f t="shared" ref="K11" si="3">_xlfn.STDEV.S(K4:K8)</f>
        <v>3.0183223817213431E-2</v>
      </c>
      <c r="L11" s="11">
        <f>_xlfn.STDEV.S(L4:L8)</f>
        <v>1.1282730166054676E-3</v>
      </c>
      <c r="M11" s="11">
        <f>_xlfn.STDEV.S(M4:M8)</f>
        <v>1.2348481688045736E-2</v>
      </c>
      <c r="N11" s="6"/>
      <c r="O11" s="8" t="s">
        <v>7</v>
      </c>
      <c r="P11" s="11">
        <f>_xlfn.STDEV.S(P4:P8)</f>
        <v>6.8804527467311291E-2</v>
      </c>
      <c r="Q11" s="11">
        <f>_xlfn.STDEV.S(Q4:Q8)</f>
        <v>8.6404531131185458E-2</v>
      </c>
      <c r="R11" s="11">
        <f>_xlfn.STDEV.S(R4:R8)</f>
        <v>3.485971887436845E-3</v>
      </c>
      <c r="S11" s="11">
        <f>_xlfn.STDEV.S(S4:S8)</f>
        <v>3.0629283373921793E-2</v>
      </c>
    </row>
    <row r="18" spans="8:14" ht="16.5" x14ac:dyDescent="0.25">
      <c r="H18" s="26" t="s">
        <v>17</v>
      </c>
      <c r="I18" s="26" t="s">
        <v>23</v>
      </c>
      <c r="J18" s="16" t="s">
        <v>19</v>
      </c>
      <c r="K18" s="26" t="s">
        <v>20</v>
      </c>
      <c r="L18" s="26" t="s">
        <v>21</v>
      </c>
      <c r="M18" s="26" t="s">
        <v>22</v>
      </c>
      <c r="N18" s="14"/>
    </row>
    <row r="19" spans="8:14" x14ac:dyDescent="0.25">
      <c r="H19" s="23" t="s">
        <v>18</v>
      </c>
      <c r="I19" s="27" t="s">
        <v>0</v>
      </c>
      <c r="J19" s="27" t="str">
        <f>TEXT(G10,"0,0000")&amp;" ± "&amp;TEXT(G11,"0,0000")</f>
        <v>0,8265 ± 0,0356</v>
      </c>
      <c r="K19" s="27" t="str">
        <f>TEXT(E10,"0,0000")&amp;" ± "&amp;TEXT(E11,"0,0000")</f>
        <v>0,2643 ± 0,0260</v>
      </c>
      <c r="L19" s="27" t="str">
        <f>TEXT(D10,"0,0000")&amp;" ± "&amp;TEXT(D11,"0,0000")</f>
        <v>0,0704 ± 0,0144</v>
      </c>
      <c r="M19" s="27" t="str">
        <f>TEXT(F10,"0,0000")&amp;" ± "&amp;TEXT(F11,"0,0000")</f>
        <v>0,0173 ± 0,0018</v>
      </c>
      <c r="N19" s="1"/>
    </row>
    <row r="20" spans="8:14" x14ac:dyDescent="0.25">
      <c r="H20" s="24"/>
      <c r="I20" s="27" t="s">
        <v>1</v>
      </c>
      <c r="J20" s="27" t="str">
        <f>TEXT(M10,"0,0000")&amp;" ± "&amp;TEXT(M11,"0,0000")</f>
        <v>0,9338 ± 0,0123</v>
      </c>
      <c r="K20" s="27" t="str">
        <f>TEXT(K10,"0,0000")&amp;" ± "&amp;TEXT(K11,"0,0000")</f>
        <v>0,3237 ± 0,0302</v>
      </c>
      <c r="L20" s="27" t="str">
        <f>TEXT(J10,"0,0000")&amp;" ± "&amp;TEXT(J11,"0,0000")</f>
        <v>0,1055 ± 0,0197</v>
      </c>
      <c r="M20" s="27" t="str">
        <f>TEXT(L10,"0,0000")&amp;" ± "&amp;TEXT(L11,"0,0000")</f>
        <v>0,0190 ± 0,0011</v>
      </c>
      <c r="N20" s="1"/>
    </row>
    <row r="21" spans="8:14" x14ac:dyDescent="0.25">
      <c r="H21" s="25"/>
      <c r="I21" s="27" t="s">
        <v>2</v>
      </c>
      <c r="J21" s="27" t="str">
        <f>TEXT(S10,"0,0000")&amp;" ± "&amp;TEXT(S11,"0,0000")</f>
        <v>0,9434 ± 0,0306</v>
      </c>
      <c r="K21" s="27" t="str">
        <f>TEXT(Q10,"0,0000")&amp;" ± "&amp;TEXT(Q11,"0,0000")</f>
        <v>0,3478 ± 0,0864</v>
      </c>
      <c r="L21" s="27" t="str">
        <f>TEXT(P10,"0,0000")&amp;" ± "&amp;TEXT(P11,"0,0000")</f>
        <v>0,1270 ± 0,0688</v>
      </c>
      <c r="M21" s="27" t="str">
        <f>TEXT(R10,"0,0000")&amp;" ± "&amp;TEXT(R11,"0,0000")</f>
        <v>0,0245 ± 0,0035</v>
      </c>
      <c r="N21" s="1"/>
    </row>
  </sheetData>
  <mergeCells count="4">
    <mergeCell ref="D2:F2"/>
    <mergeCell ref="J2:L2"/>
    <mergeCell ref="P2:R2"/>
    <mergeCell ref="H19:H2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8AA1-02C1-445A-9F47-824F6555D79C}">
  <dimension ref="C2:S21"/>
  <sheetViews>
    <sheetView topLeftCell="C1" zoomScale="73" zoomScaleNormal="73" workbookViewId="0">
      <selection activeCell="J19" sqref="J19:M21"/>
    </sheetView>
  </sheetViews>
  <sheetFormatPr baseColWidth="10" defaultRowHeight="15" x14ac:dyDescent="0.25"/>
  <cols>
    <col min="3" max="3" width="16" customWidth="1"/>
    <col min="4" max="8" width="13.7109375" customWidth="1"/>
    <col min="9" max="9" width="16" customWidth="1"/>
    <col min="10" max="10" width="15.7109375" customWidth="1"/>
    <col min="11" max="11" width="20" customWidth="1"/>
    <col min="12" max="12" width="17.5703125" customWidth="1"/>
    <col min="13" max="13" width="17.28515625" customWidth="1"/>
    <col min="14" max="14" width="13.7109375" customWidth="1"/>
    <col min="15" max="15" width="16" customWidth="1"/>
    <col min="16" max="19" width="13.7109375" customWidth="1"/>
  </cols>
  <sheetData>
    <row r="2" spans="3:19" x14ac:dyDescent="0.25">
      <c r="C2" s="3"/>
      <c r="D2" s="17" t="s">
        <v>9</v>
      </c>
      <c r="E2" s="18"/>
      <c r="F2" s="19"/>
      <c r="G2" s="3"/>
      <c r="H2" s="3"/>
      <c r="I2" s="3"/>
      <c r="J2" s="17" t="s">
        <v>10</v>
      </c>
      <c r="K2" s="18"/>
      <c r="L2" s="19"/>
      <c r="M2" s="3"/>
      <c r="N2" s="3"/>
      <c r="O2" s="3"/>
      <c r="P2" s="17" t="s">
        <v>8</v>
      </c>
      <c r="Q2" s="18"/>
      <c r="R2" s="19"/>
      <c r="S2" s="3"/>
    </row>
    <row r="3" spans="3:19" ht="16.5" x14ac:dyDescent="0.25">
      <c r="C3" s="4"/>
      <c r="D3" s="9" t="s">
        <v>5</v>
      </c>
      <c r="E3" s="9" t="s">
        <v>3</v>
      </c>
      <c r="F3" s="9" t="s">
        <v>4</v>
      </c>
      <c r="G3" s="10" t="s">
        <v>11</v>
      </c>
      <c r="H3" s="3"/>
      <c r="I3" s="4"/>
      <c r="J3" s="9" t="s">
        <v>5</v>
      </c>
      <c r="K3" s="9" t="s">
        <v>3</v>
      </c>
      <c r="L3" s="9" t="s">
        <v>4</v>
      </c>
      <c r="M3" s="10" t="s">
        <v>11</v>
      </c>
      <c r="N3" s="3"/>
      <c r="O3" s="4"/>
      <c r="P3" s="9" t="s">
        <v>5</v>
      </c>
      <c r="Q3" s="9" t="s">
        <v>3</v>
      </c>
      <c r="R3" s="9" t="s">
        <v>4</v>
      </c>
      <c r="S3" s="10" t="s">
        <v>11</v>
      </c>
    </row>
    <row r="4" spans="3:19" x14ac:dyDescent="0.25">
      <c r="C4" s="5" t="s">
        <v>12</v>
      </c>
      <c r="D4" s="11">
        <v>6.9199999999999998E-2</v>
      </c>
      <c r="E4" s="11">
        <v>0.26300000000000001</v>
      </c>
      <c r="F4" s="11">
        <v>1.6799999999999999E-2</v>
      </c>
      <c r="G4" s="11">
        <v>0.82950000000000002</v>
      </c>
      <c r="H4" s="6"/>
      <c r="I4" s="5" t="s">
        <v>12</v>
      </c>
      <c r="J4" s="11">
        <v>0.109</v>
      </c>
      <c r="K4" s="11">
        <v>0.33019999999999999</v>
      </c>
      <c r="L4" s="11">
        <v>2.0799999999999999E-2</v>
      </c>
      <c r="M4" s="11">
        <v>0.93159999999999998</v>
      </c>
      <c r="N4" s="6"/>
      <c r="O4" s="5" t="s">
        <v>12</v>
      </c>
      <c r="P4" s="11">
        <v>8.7300000000000003E-2</v>
      </c>
      <c r="Q4" s="11">
        <v>0.2954</v>
      </c>
      <c r="R4" s="11">
        <v>2.0799999999999999E-2</v>
      </c>
      <c r="S4" s="11">
        <v>0.96109999999999995</v>
      </c>
    </row>
    <row r="5" spans="3:19" x14ac:dyDescent="0.25">
      <c r="C5" s="5" t="s">
        <v>13</v>
      </c>
      <c r="D5" s="11">
        <v>6.7699999999999996E-2</v>
      </c>
      <c r="E5" s="11">
        <v>0.26029999999999998</v>
      </c>
      <c r="F5" s="11">
        <v>1.5299999999999999E-2</v>
      </c>
      <c r="G5" s="11">
        <v>0.83299999999999996</v>
      </c>
      <c r="H5" s="6"/>
      <c r="I5" s="5" t="s">
        <v>13</v>
      </c>
      <c r="J5" s="11">
        <v>0.18310000000000001</v>
      </c>
      <c r="K5" s="11">
        <v>0.4279</v>
      </c>
      <c r="L5" s="11">
        <v>2.5100000000000001E-2</v>
      </c>
      <c r="M5" s="11">
        <v>0.8851</v>
      </c>
      <c r="N5" s="6"/>
      <c r="O5" s="5" t="s">
        <v>13</v>
      </c>
      <c r="P5" s="11">
        <v>0.15060000000000001</v>
      </c>
      <c r="Q5" s="11">
        <v>0.3881</v>
      </c>
      <c r="R5" s="11">
        <v>2.6200000000000001E-2</v>
      </c>
      <c r="S5" s="11">
        <v>0.93289999999999995</v>
      </c>
    </row>
    <row r="6" spans="3:19" x14ac:dyDescent="0.25">
      <c r="C6" s="5" t="s">
        <v>14</v>
      </c>
      <c r="D6" s="11">
        <v>0.1074</v>
      </c>
      <c r="E6" s="11">
        <v>0.32779999999999998</v>
      </c>
      <c r="F6" s="11">
        <v>1.9599999999999999E-2</v>
      </c>
      <c r="G6" s="11">
        <v>0.73519999999999996</v>
      </c>
      <c r="H6" s="6"/>
      <c r="I6" s="5" t="s">
        <v>14</v>
      </c>
      <c r="J6" s="11">
        <v>0.19589999999999999</v>
      </c>
      <c r="K6" s="11">
        <v>0.44269999999999998</v>
      </c>
      <c r="L6" s="11">
        <v>2.3699999999999999E-2</v>
      </c>
      <c r="M6" s="11">
        <v>0.877</v>
      </c>
      <c r="N6" s="6"/>
      <c r="O6" s="5" t="s">
        <v>14</v>
      </c>
      <c r="P6" s="11">
        <v>0.25790000000000002</v>
      </c>
      <c r="Q6" s="11">
        <v>0.50780000000000003</v>
      </c>
      <c r="R6" s="11">
        <v>2.93E-2</v>
      </c>
      <c r="S6" s="11">
        <v>0.8851</v>
      </c>
    </row>
    <row r="7" spans="3:19" x14ac:dyDescent="0.25">
      <c r="C7" s="5" t="s">
        <v>15</v>
      </c>
      <c r="D7" s="11">
        <v>6.6600000000000006E-2</v>
      </c>
      <c r="E7" s="11">
        <v>0.2581</v>
      </c>
      <c r="F7" s="11">
        <v>1.6299999999999999E-2</v>
      </c>
      <c r="G7" s="11">
        <v>0.8357</v>
      </c>
      <c r="H7" s="6"/>
      <c r="I7" s="5" t="s">
        <v>15</v>
      </c>
      <c r="J7" s="11">
        <v>9.0800000000000006E-2</v>
      </c>
      <c r="K7" s="11">
        <v>0.30130000000000001</v>
      </c>
      <c r="L7" s="11">
        <v>1.84E-2</v>
      </c>
      <c r="M7" s="11">
        <v>0.94299999999999995</v>
      </c>
      <c r="N7" s="6"/>
      <c r="O7" s="5" t="s">
        <v>15</v>
      </c>
      <c r="P7" s="11">
        <v>0.12189999999999999</v>
      </c>
      <c r="Q7" s="11">
        <v>0.34910000000000002</v>
      </c>
      <c r="R7" s="11">
        <v>2.5499999999999998E-2</v>
      </c>
      <c r="S7" s="11">
        <v>0.94569999999999999</v>
      </c>
    </row>
    <row r="8" spans="3:19" x14ac:dyDescent="0.25">
      <c r="C8" s="5" t="s">
        <v>16</v>
      </c>
      <c r="D8" s="11">
        <v>9.64E-2</v>
      </c>
      <c r="E8" s="11">
        <v>0.31040000000000001</v>
      </c>
      <c r="F8" s="11">
        <v>2.2800000000000001E-2</v>
      </c>
      <c r="G8" s="11">
        <v>0.76239999999999997</v>
      </c>
      <c r="H8" s="6"/>
      <c r="I8" s="5" t="s">
        <v>16</v>
      </c>
      <c r="J8" s="11">
        <v>6.6699999999999995E-2</v>
      </c>
      <c r="K8" s="11">
        <v>0.25829999999999997</v>
      </c>
      <c r="L8" s="11">
        <v>1.67E-2</v>
      </c>
      <c r="M8" s="11">
        <v>0.95809999999999995</v>
      </c>
      <c r="N8" s="6"/>
      <c r="O8" s="5" t="s">
        <v>16</v>
      </c>
      <c r="P8" s="11">
        <v>0.2064</v>
      </c>
      <c r="Q8" s="11">
        <v>0.45429999999999998</v>
      </c>
      <c r="R8" s="11">
        <v>3.0599999999999999E-2</v>
      </c>
      <c r="S8" s="11">
        <v>0.90810000000000002</v>
      </c>
    </row>
    <row r="9" spans="3:19" x14ac:dyDescent="0.25">
      <c r="C9" s="7"/>
      <c r="D9" s="12"/>
      <c r="E9" s="12"/>
      <c r="F9" s="12"/>
      <c r="G9" s="13"/>
      <c r="H9" s="6"/>
      <c r="I9" s="7"/>
      <c r="J9" s="12"/>
      <c r="K9" s="12"/>
      <c r="L9" s="12"/>
      <c r="M9" s="13"/>
      <c r="N9" s="6"/>
      <c r="O9" s="7"/>
      <c r="P9" s="12"/>
      <c r="Q9" s="12"/>
      <c r="R9" s="12"/>
      <c r="S9" s="13"/>
    </row>
    <row r="10" spans="3:19" x14ac:dyDescent="0.25">
      <c r="C10" s="8" t="s">
        <v>6</v>
      </c>
      <c r="D10" s="11">
        <f>AVERAGE(D4:D8)</f>
        <v>8.1460000000000005E-2</v>
      </c>
      <c r="E10" s="11">
        <f t="shared" ref="E10:F10" si="0">AVERAGE(E4:E8)</f>
        <v>0.28392000000000001</v>
      </c>
      <c r="F10" s="11">
        <f t="shared" si="0"/>
        <v>1.8159999999999999E-2</v>
      </c>
      <c r="G10" s="11">
        <f>AVERAGE(G4:G8)</f>
        <v>0.79915999999999998</v>
      </c>
      <c r="H10" s="6"/>
      <c r="I10" s="8" t="s">
        <v>6</v>
      </c>
      <c r="J10" s="11">
        <f>AVERAGE(J4:J8)</f>
        <v>0.12909999999999999</v>
      </c>
      <c r="K10" s="11">
        <f t="shared" ref="K10:L10" si="1">AVERAGE(K4:K8)</f>
        <v>0.35208</v>
      </c>
      <c r="L10" s="11">
        <f t="shared" si="1"/>
        <v>2.0939999999999997E-2</v>
      </c>
      <c r="M10" s="11">
        <f>AVERAGE(M4:M8)</f>
        <v>0.91895999999999989</v>
      </c>
      <c r="N10" s="6"/>
      <c r="O10" s="8" t="s">
        <v>6</v>
      </c>
      <c r="P10" s="11">
        <f>AVERAGE(P4:P8)</f>
        <v>0.16482000000000002</v>
      </c>
      <c r="Q10" s="11">
        <f>AVERAGE(Q4:Q8)</f>
        <v>0.39893999999999996</v>
      </c>
      <c r="R10" s="11">
        <f t="shared" ref="R10" si="2">AVERAGE(R4:R8)</f>
        <v>2.6479999999999997E-2</v>
      </c>
      <c r="S10" s="11">
        <f>AVERAGE(S4:S8)</f>
        <v>0.92657999999999985</v>
      </c>
    </row>
    <row r="11" spans="3:19" x14ac:dyDescent="0.25">
      <c r="C11" s="8" t="s">
        <v>7</v>
      </c>
      <c r="D11" s="11">
        <f>_xlfn.STDEV.S(D4:D8)</f>
        <v>1.9082400268310065E-2</v>
      </c>
      <c r="E11" s="11">
        <f>_xlfn.STDEV.S(E4:E8)</f>
        <v>3.27447247659833E-2</v>
      </c>
      <c r="F11" s="11">
        <f>_xlfn.STDEV.S(F4:F8)</f>
        <v>3.0451600943135985E-3</v>
      </c>
      <c r="G11" s="11">
        <f>_xlfn.STDEV.S(G4:G8)</f>
        <v>4.7018645237820296E-2</v>
      </c>
      <c r="H11" s="6"/>
      <c r="I11" s="8" t="s">
        <v>7</v>
      </c>
      <c r="J11" s="11">
        <f>_xlfn.STDEV.S(J4:J8)</f>
        <v>5.7321243880432318E-2</v>
      </c>
      <c r="K11" s="11">
        <f t="shared" ref="K11" si="3">_xlfn.STDEV.S(K4:K8)</f>
        <v>8.0331637603126255E-2</v>
      </c>
      <c r="L11" s="11">
        <f>_xlfn.STDEV.S(L4:L8)</f>
        <v>3.5132605938074106E-3</v>
      </c>
      <c r="M11" s="11">
        <f>_xlfn.STDEV.S(M4:M8)</f>
        <v>3.5974894023471399E-2</v>
      </c>
      <c r="N11" s="6"/>
      <c r="O11" s="8" t="s">
        <v>7</v>
      </c>
      <c r="P11" s="11">
        <f>_xlfn.STDEV.S(P4:P8)</f>
        <v>6.7908887489046665E-2</v>
      </c>
      <c r="Q11" s="11">
        <f>_xlfn.STDEV.S(Q4:Q8)</f>
        <v>8.4019777433649551E-2</v>
      </c>
      <c r="R11" s="11">
        <f>_xlfn.STDEV.S(R4:R8)</f>
        <v>3.8153636786026047E-3</v>
      </c>
      <c r="S11" s="11">
        <f>_xlfn.STDEV.S(S4:S8)</f>
        <v>3.0245859220726378E-2</v>
      </c>
    </row>
    <row r="18" spans="8:13" ht="16.5" x14ac:dyDescent="0.25">
      <c r="H18" s="15" t="s">
        <v>17</v>
      </c>
      <c r="I18" s="15" t="s">
        <v>23</v>
      </c>
      <c r="J18" s="16" t="s">
        <v>19</v>
      </c>
      <c r="K18" s="15" t="s">
        <v>20</v>
      </c>
      <c r="L18" s="15" t="s">
        <v>21</v>
      </c>
      <c r="M18" s="15" t="s">
        <v>22</v>
      </c>
    </row>
    <row r="19" spans="8:13" x14ac:dyDescent="0.25">
      <c r="H19" s="23" t="s">
        <v>24</v>
      </c>
      <c r="I19" s="2" t="s">
        <v>0</v>
      </c>
      <c r="J19" s="2" t="str">
        <f>TEXT(G10,"0,0000")&amp;" ± "&amp;TEXT(G11,"0,0000")</f>
        <v>0,7992 ± 0,0470</v>
      </c>
      <c r="K19" s="2" t="str">
        <f>TEXT(E10,"0,0000")&amp;" ± "&amp;TEXT(E11,"0,0000")</f>
        <v>0,2839 ± 0,0327</v>
      </c>
      <c r="L19" s="2" t="str">
        <f>TEXT(D10,"0,0000")&amp;" ± "&amp;TEXT(D11,"0,0000")</f>
        <v>0,0815 ± 0,0191</v>
      </c>
      <c r="M19" s="2" t="str">
        <f>TEXT(F10,"0,0000")&amp;" ± "&amp;TEXT(F11,"0,0000")</f>
        <v>0,0182 ± 0,0030</v>
      </c>
    </row>
    <row r="20" spans="8:13" x14ac:dyDescent="0.25">
      <c r="H20" s="24"/>
      <c r="I20" s="2" t="s">
        <v>1</v>
      </c>
      <c r="J20" s="2" t="str">
        <f>TEXT(M10,"0,0000")&amp;" ± "&amp;TEXT(M11,"0,0000")</f>
        <v>0,9190 ± 0,0360</v>
      </c>
      <c r="K20" s="2" t="str">
        <f>TEXT(K10,"0,0000")&amp;" ± "&amp;TEXT(K11,"0,0000")</f>
        <v>0,3521 ± 0,0803</v>
      </c>
      <c r="L20" s="2" t="str">
        <f>TEXT(J10,"0,0000")&amp;" ± "&amp;TEXT(J11,"0,0000")</f>
        <v>0,1291 ± 0,0573</v>
      </c>
      <c r="M20" s="2" t="str">
        <f>TEXT(L10,"0,0000")&amp;" ± "&amp;TEXT(L11,"0,0000")</f>
        <v>0,0209 ± 0,0035</v>
      </c>
    </row>
    <row r="21" spans="8:13" x14ac:dyDescent="0.25">
      <c r="H21" s="25"/>
      <c r="I21" s="2" t="s">
        <v>2</v>
      </c>
      <c r="J21" s="2" t="str">
        <f>TEXT(S10,"0,0000")&amp;" ± "&amp;TEXT(S11,"0,0000")</f>
        <v>0,9266 ± 0,0302</v>
      </c>
      <c r="K21" s="2" t="str">
        <f>TEXT(Q10,"0,0000")&amp;" ± "&amp;TEXT(Q11,"0,0000")</f>
        <v>0,3989 ± 0,0840</v>
      </c>
      <c r="L21" s="2" t="str">
        <f>TEXT(P10,"0,0000")&amp;" ± "&amp;TEXT(P11,"0,0000")</f>
        <v>0,1648 ± 0,0679</v>
      </c>
      <c r="M21" s="2" t="str">
        <f>TEXT(R10,"0,0000")&amp;" ± "&amp;TEXT(R11,"0,0000")</f>
        <v>0,0265 ± 0,0038</v>
      </c>
    </row>
  </sheetData>
  <mergeCells count="4">
    <mergeCell ref="D2:F2"/>
    <mergeCell ref="J2:L2"/>
    <mergeCell ref="P2:R2"/>
    <mergeCell ref="H19:H21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FC85-148F-40E6-82D9-F6E06C4FA8B6}">
  <dimension ref="C2:S21"/>
  <sheetViews>
    <sheetView topLeftCell="C1" zoomScale="73" zoomScaleNormal="73" workbookViewId="0">
      <selection activeCell="J19" sqref="J19:M21"/>
    </sheetView>
  </sheetViews>
  <sheetFormatPr baseColWidth="10" defaultRowHeight="15" x14ac:dyDescent="0.25"/>
  <cols>
    <col min="3" max="3" width="16" customWidth="1"/>
    <col min="4" max="8" width="13.7109375" customWidth="1"/>
    <col min="9" max="9" width="16" customWidth="1"/>
    <col min="10" max="10" width="13.7109375" customWidth="1"/>
    <col min="11" max="11" width="18" customWidth="1"/>
    <col min="12" max="12" width="17.5703125" customWidth="1"/>
    <col min="13" max="13" width="17.28515625" customWidth="1"/>
    <col min="14" max="14" width="13.7109375" customWidth="1"/>
    <col min="15" max="15" width="16" customWidth="1"/>
    <col min="16" max="19" width="13.7109375" customWidth="1"/>
  </cols>
  <sheetData>
    <row r="2" spans="3:19" x14ac:dyDescent="0.25">
      <c r="C2" s="3"/>
      <c r="D2" s="17" t="s">
        <v>9</v>
      </c>
      <c r="E2" s="18"/>
      <c r="F2" s="19"/>
      <c r="G2" s="3"/>
      <c r="H2" s="3"/>
      <c r="I2" s="3"/>
      <c r="J2" s="17" t="s">
        <v>10</v>
      </c>
      <c r="K2" s="18"/>
      <c r="L2" s="19"/>
      <c r="M2" s="3"/>
      <c r="N2" s="3"/>
      <c r="O2" s="3"/>
      <c r="P2" s="17" t="s">
        <v>8</v>
      </c>
      <c r="Q2" s="18"/>
      <c r="R2" s="19"/>
      <c r="S2" s="3"/>
    </row>
    <row r="3" spans="3:19" ht="16.5" x14ac:dyDescent="0.25">
      <c r="C3" s="4"/>
      <c r="D3" s="9" t="s">
        <v>5</v>
      </c>
      <c r="E3" s="9" t="s">
        <v>3</v>
      </c>
      <c r="F3" s="9" t="s">
        <v>4</v>
      </c>
      <c r="G3" s="10" t="s">
        <v>11</v>
      </c>
      <c r="H3" s="3"/>
      <c r="I3" s="4"/>
      <c r="J3" s="9" t="s">
        <v>5</v>
      </c>
      <c r="K3" s="9" t="s">
        <v>3</v>
      </c>
      <c r="L3" s="9" t="s">
        <v>4</v>
      </c>
      <c r="M3" s="10" t="s">
        <v>11</v>
      </c>
      <c r="N3" s="3"/>
      <c r="O3" s="4"/>
      <c r="P3" s="9" t="s">
        <v>5</v>
      </c>
      <c r="Q3" s="9" t="s">
        <v>3</v>
      </c>
      <c r="R3" s="9" t="s">
        <v>4</v>
      </c>
      <c r="S3" s="10" t="s">
        <v>11</v>
      </c>
    </row>
    <row r="4" spans="3:19" x14ac:dyDescent="0.25">
      <c r="C4" s="5" t="s">
        <v>12</v>
      </c>
      <c r="D4" s="11">
        <v>7.1199999999999999E-2</v>
      </c>
      <c r="E4" s="11">
        <v>0.26690000000000003</v>
      </c>
      <c r="F4" s="11">
        <v>1.6500000000000001E-2</v>
      </c>
      <c r="G4" s="11">
        <v>0.82440000000000002</v>
      </c>
      <c r="H4" s="6"/>
      <c r="I4" s="5" t="s">
        <v>12</v>
      </c>
      <c r="J4" s="11">
        <v>0.21590000000000001</v>
      </c>
      <c r="K4" s="11">
        <v>0.4647</v>
      </c>
      <c r="L4" s="11">
        <v>2.5399999999999999E-2</v>
      </c>
      <c r="M4" s="11">
        <v>0.86450000000000005</v>
      </c>
      <c r="N4" s="6"/>
      <c r="O4" s="5" t="s">
        <v>12</v>
      </c>
      <c r="P4" s="11">
        <v>0.35470000000000002</v>
      </c>
      <c r="Q4" s="11">
        <v>0.59560000000000002</v>
      </c>
      <c r="R4" s="11">
        <v>3.6600000000000001E-2</v>
      </c>
      <c r="S4" s="11">
        <v>0.84199999999999997</v>
      </c>
    </row>
    <row r="5" spans="3:19" x14ac:dyDescent="0.25">
      <c r="C5" s="5" t="s">
        <v>13</v>
      </c>
      <c r="D5" s="11">
        <v>8.3299999999999999E-2</v>
      </c>
      <c r="E5" s="11">
        <v>0.28870000000000001</v>
      </c>
      <c r="F5" s="11">
        <v>1.9199999999999998E-2</v>
      </c>
      <c r="G5" s="11">
        <v>0.79459999999999997</v>
      </c>
      <c r="H5" s="6"/>
      <c r="I5" s="5" t="s">
        <v>13</v>
      </c>
      <c r="J5" s="11">
        <v>0.1928</v>
      </c>
      <c r="K5" s="11">
        <v>0.43909999999999999</v>
      </c>
      <c r="L5" s="11">
        <v>2.64E-2</v>
      </c>
      <c r="M5" s="11">
        <v>0.879</v>
      </c>
      <c r="N5" s="6"/>
      <c r="O5" s="5" t="s">
        <v>13</v>
      </c>
      <c r="P5" s="11">
        <v>0.2412</v>
      </c>
      <c r="Q5" s="11">
        <v>0.49109999999999998</v>
      </c>
      <c r="R5" s="11">
        <v>3.2800000000000003E-2</v>
      </c>
      <c r="S5" s="11">
        <v>0.89259999999999995</v>
      </c>
    </row>
    <row r="6" spans="3:19" x14ac:dyDescent="0.25">
      <c r="C6" s="5" t="s">
        <v>14</v>
      </c>
      <c r="D6" s="11">
        <v>0.37169999999999997</v>
      </c>
      <c r="E6" s="11">
        <v>0.60960000000000003</v>
      </c>
      <c r="F6" s="11">
        <v>4.2500000000000003E-2</v>
      </c>
      <c r="G6" s="11">
        <v>8.3699999999999997E-2</v>
      </c>
      <c r="H6" s="6"/>
      <c r="I6" s="5" t="s">
        <v>14</v>
      </c>
      <c r="J6" s="11">
        <v>6.5100000000000005E-2</v>
      </c>
      <c r="K6" s="11">
        <v>0.25519999999999998</v>
      </c>
      <c r="L6" s="11">
        <v>1.72E-2</v>
      </c>
      <c r="M6" s="11">
        <v>0.95909999999999995</v>
      </c>
      <c r="N6" s="6"/>
      <c r="O6" s="5" t="s">
        <v>14</v>
      </c>
      <c r="P6" s="11">
        <v>9.6600000000000005E-2</v>
      </c>
      <c r="Q6" s="11">
        <v>0.31080000000000002</v>
      </c>
      <c r="R6" s="11">
        <v>2.2599999999999999E-2</v>
      </c>
      <c r="S6" s="11">
        <v>0.95699999999999996</v>
      </c>
    </row>
    <row r="7" spans="3:19" x14ac:dyDescent="0.25">
      <c r="C7" s="5" t="s">
        <v>15</v>
      </c>
      <c r="D7" s="11">
        <v>6.1400000000000003E-2</v>
      </c>
      <c r="E7" s="11">
        <v>0.2477</v>
      </c>
      <c r="F7" s="11">
        <v>1.5299999999999999E-2</v>
      </c>
      <c r="G7" s="11">
        <v>0.84870000000000001</v>
      </c>
      <c r="H7" s="6"/>
      <c r="I7" s="5" t="s">
        <v>15</v>
      </c>
      <c r="J7" s="11">
        <v>6.5000000000000002E-2</v>
      </c>
      <c r="K7" s="11">
        <v>0.255</v>
      </c>
      <c r="L7" s="11">
        <v>1.7000000000000001E-2</v>
      </c>
      <c r="M7" s="11">
        <v>0.95920000000000005</v>
      </c>
      <c r="N7" s="6"/>
      <c r="O7" s="5" t="s">
        <v>15</v>
      </c>
      <c r="P7" s="11">
        <v>0.1278</v>
      </c>
      <c r="Q7" s="11">
        <v>0.35749999999999998</v>
      </c>
      <c r="R7" s="11">
        <v>2.5399999999999999E-2</v>
      </c>
      <c r="S7" s="11">
        <v>0.94310000000000005</v>
      </c>
    </row>
    <row r="8" spans="3:19" x14ac:dyDescent="0.25">
      <c r="C8" s="5" t="s">
        <v>16</v>
      </c>
      <c r="D8" s="11">
        <v>8.0299999999999996E-2</v>
      </c>
      <c r="E8" s="11">
        <v>0.2833</v>
      </c>
      <c r="F8" s="11">
        <v>2.06E-2</v>
      </c>
      <c r="G8" s="11">
        <v>0.80210000000000004</v>
      </c>
      <c r="H8" s="6"/>
      <c r="I8" s="5" t="s">
        <v>16</v>
      </c>
      <c r="J8" s="11">
        <v>5.57E-2</v>
      </c>
      <c r="K8" s="11">
        <v>0.23599999999999999</v>
      </c>
      <c r="L8" s="11">
        <v>1.6199999999999999E-2</v>
      </c>
      <c r="M8" s="11">
        <v>0.96509999999999996</v>
      </c>
      <c r="N8" s="6"/>
      <c r="O8" s="5" t="s">
        <v>16</v>
      </c>
      <c r="P8" s="11">
        <v>8.1100000000000005E-2</v>
      </c>
      <c r="Q8" s="11">
        <v>0.2848</v>
      </c>
      <c r="R8" s="11">
        <v>2.1999999999999999E-2</v>
      </c>
      <c r="S8" s="11">
        <v>0.96389999999999998</v>
      </c>
    </row>
    <row r="9" spans="3:19" x14ac:dyDescent="0.25">
      <c r="C9" s="7"/>
      <c r="D9" s="12"/>
      <c r="E9" s="12"/>
      <c r="F9" s="12"/>
      <c r="G9" s="13"/>
      <c r="H9" s="6"/>
      <c r="I9" s="7"/>
      <c r="J9" s="12"/>
      <c r="K9" s="12"/>
      <c r="L9" s="12"/>
      <c r="M9" s="13"/>
      <c r="N9" s="6"/>
      <c r="O9" s="7"/>
      <c r="P9" s="12"/>
      <c r="Q9" s="12"/>
      <c r="R9" s="12"/>
      <c r="S9" s="13"/>
    </row>
    <row r="10" spans="3:19" x14ac:dyDescent="0.25">
      <c r="C10" s="8" t="s">
        <v>6</v>
      </c>
      <c r="D10" s="11">
        <f>AVERAGE(D4:D8)</f>
        <v>0.13358</v>
      </c>
      <c r="E10" s="11">
        <f t="shared" ref="E10:F10" si="0">AVERAGE(E4:E8)</f>
        <v>0.33924000000000004</v>
      </c>
      <c r="F10" s="11">
        <f t="shared" si="0"/>
        <v>2.2819999999999997E-2</v>
      </c>
      <c r="G10" s="11">
        <f>AVERAGE(G4:G8)</f>
        <v>0.67070000000000007</v>
      </c>
      <c r="H10" s="6"/>
      <c r="I10" s="8" t="s">
        <v>6</v>
      </c>
      <c r="J10" s="11">
        <f>AVERAGE(J4:J8)</f>
        <v>0.11889999999999998</v>
      </c>
      <c r="K10" s="11">
        <f t="shared" ref="K10:L10" si="1">AVERAGE(K4:K8)</f>
        <v>0.32999999999999996</v>
      </c>
      <c r="L10" s="11">
        <f t="shared" si="1"/>
        <v>2.0440000000000003E-2</v>
      </c>
      <c r="M10" s="11">
        <f>AVERAGE(M4:M8)</f>
        <v>0.92537999999999998</v>
      </c>
      <c r="N10" s="6"/>
      <c r="O10" s="8" t="s">
        <v>6</v>
      </c>
      <c r="P10" s="11">
        <f>AVERAGE(P4:P8)</f>
        <v>0.18028</v>
      </c>
      <c r="Q10" s="11">
        <f>AVERAGE(Q4:Q8)</f>
        <v>0.40795999999999999</v>
      </c>
      <c r="R10" s="11">
        <f t="shared" ref="R10" si="2">AVERAGE(R4:R8)</f>
        <v>2.7879999999999999E-2</v>
      </c>
      <c r="S10" s="11">
        <f>AVERAGE(S4:S8)</f>
        <v>0.91971999999999987</v>
      </c>
    </row>
    <row r="11" spans="3:19" x14ac:dyDescent="0.25">
      <c r="C11" s="8" t="s">
        <v>7</v>
      </c>
      <c r="D11" s="11">
        <f>_xlfn.STDEV.S(D4:D8)</f>
        <v>0.13338776930438559</v>
      </c>
      <c r="E11" s="11">
        <f>_xlfn.STDEV.S(E4:E8)</f>
        <v>0.15197923542379063</v>
      </c>
      <c r="F11" s="11">
        <f>_xlfn.STDEV.S(F4:F8)</f>
        <v>1.1200758902860125E-2</v>
      </c>
      <c r="G11" s="11">
        <f>_xlfn.STDEV.S(G4:G8)</f>
        <v>0.32882132686308535</v>
      </c>
      <c r="H11" s="6"/>
      <c r="I11" s="8" t="s">
        <v>7</v>
      </c>
      <c r="J11" s="11">
        <f>_xlfn.STDEV.S(J4:J8)</f>
        <v>7.8524040904680958E-2</v>
      </c>
      <c r="K11" s="11">
        <f t="shared" ref="K11" si="3">_xlfn.STDEV.S(K4:K8)</f>
        <v>0.11191843011765339</v>
      </c>
      <c r="L11" s="11">
        <f>_xlfn.STDEV.S(L4:L8)</f>
        <v>5.0107883611264017E-3</v>
      </c>
      <c r="M11" s="11">
        <f>_xlfn.STDEV.S(M4:M8)</f>
        <v>4.9284855686102989E-2</v>
      </c>
      <c r="N11" s="6"/>
      <c r="O11" s="8" t="s">
        <v>7</v>
      </c>
      <c r="P11" s="11">
        <f>_xlfn.STDEV.S(P4:P8)</f>
        <v>0.11589515520503865</v>
      </c>
      <c r="Q11" s="11">
        <f>_xlfn.STDEV.S(Q4:Q8)</f>
        <v>0.13160137917210449</v>
      </c>
      <c r="R11" s="11">
        <f>_xlfn.STDEV.S(R4:R8)</f>
        <v>6.4970762655212943E-3</v>
      </c>
      <c r="S11" s="11">
        <f>_xlfn.STDEV.S(S4:S8)</f>
        <v>5.1633777704134728E-2</v>
      </c>
    </row>
    <row r="18" spans="8:13" ht="16.5" x14ac:dyDescent="0.25">
      <c r="H18" s="15" t="s">
        <v>17</v>
      </c>
      <c r="I18" s="15" t="s">
        <v>23</v>
      </c>
      <c r="J18" s="16" t="s">
        <v>19</v>
      </c>
      <c r="K18" s="15" t="s">
        <v>20</v>
      </c>
      <c r="L18" s="15" t="s">
        <v>21</v>
      </c>
      <c r="M18" s="15" t="s">
        <v>22</v>
      </c>
    </row>
    <row r="19" spans="8:13" x14ac:dyDescent="0.25">
      <c r="H19" s="20" t="s">
        <v>18</v>
      </c>
      <c r="I19" s="2" t="s">
        <v>0</v>
      </c>
      <c r="J19" s="2" t="str">
        <f>TEXT(G10,"0,0000")&amp;" ± "&amp;TEXT(G11,"0,0000")</f>
        <v>0,6707 ± 0,3288</v>
      </c>
      <c r="K19" s="2" t="str">
        <f>TEXT(E10,"0,0000")&amp;" ± "&amp;TEXT(E11,"0,0000")</f>
        <v>0,3392 ± 0,1520</v>
      </c>
      <c r="L19" s="2" t="str">
        <f>TEXT(D10,"0,0000")&amp;" ± "&amp;TEXT(D11,"0,0000")</f>
        <v>0,1336 ± 0,1334</v>
      </c>
      <c r="M19" s="2" t="str">
        <f>TEXT(F10,"0,0000")&amp;" ± "&amp;TEXT(F11,"0,0000")</f>
        <v>0,0228 ± 0,0112</v>
      </c>
    </row>
    <row r="20" spans="8:13" x14ac:dyDescent="0.25">
      <c r="H20" s="21"/>
      <c r="I20" s="2" t="s">
        <v>1</v>
      </c>
      <c r="J20" s="2" t="str">
        <f>TEXT(M10,"0,0000")&amp;" ± "&amp;TEXT(M11,"0,0000")</f>
        <v>0,9254 ± 0,0493</v>
      </c>
      <c r="K20" s="2" t="str">
        <f>TEXT(K10,"0,0000")&amp;" ± "&amp;TEXT(K11,"0,0000")</f>
        <v>0,3300 ± 0,1119</v>
      </c>
      <c r="L20" s="2" t="str">
        <f>TEXT(J10,"0,0000")&amp;" ± "&amp;TEXT(J11,"0,0000")</f>
        <v>0,1189 ± 0,0785</v>
      </c>
      <c r="M20" s="2" t="str">
        <f>TEXT(L10,"0,0000")&amp;" ± "&amp;TEXT(L11,"0,0000")</f>
        <v>0,0204 ± 0,0050</v>
      </c>
    </row>
    <row r="21" spans="8:13" x14ac:dyDescent="0.25">
      <c r="H21" s="22"/>
      <c r="I21" s="2" t="s">
        <v>2</v>
      </c>
      <c r="J21" s="2" t="str">
        <f>TEXT(S10,"0,0000")&amp;" ± "&amp;TEXT(S11,"0,0000")</f>
        <v>0,9197 ± 0,0516</v>
      </c>
      <c r="K21" s="2" t="str">
        <f>TEXT(Q10,"0,0000")&amp;" ± "&amp;TEXT(Q11,"0,0000")</f>
        <v>0,4080 ± 0,1316</v>
      </c>
      <c r="L21" s="2" t="str">
        <f>TEXT(P10,"0,0000")&amp;" ± "&amp;TEXT(P11,"0,0000")</f>
        <v>0,1803 ± 0,1159</v>
      </c>
      <c r="M21" s="2" t="str">
        <f>TEXT(R10,"0,0000")&amp;" ± "&amp;TEXT(R11,"0,0000")</f>
        <v>0,0279 ± 0,0065</v>
      </c>
    </row>
  </sheetData>
  <mergeCells count="4">
    <mergeCell ref="D2:F2"/>
    <mergeCell ref="J2:L2"/>
    <mergeCell ref="P2:R2"/>
    <mergeCell ref="H19:H2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6FB0-AF42-49DE-8C0E-3FA53B33BDB1}">
  <dimension ref="C2:S21"/>
  <sheetViews>
    <sheetView topLeftCell="C10" zoomScale="73" zoomScaleNormal="73" workbookViewId="0">
      <selection activeCell="J19" sqref="J19:M21"/>
    </sheetView>
  </sheetViews>
  <sheetFormatPr baseColWidth="10" defaultRowHeight="15" x14ac:dyDescent="0.25"/>
  <cols>
    <col min="3" max="3" width="16" customWidth="1"/>
    <col min="4" max="8" width="13.7109375" customWidth="1"/>
    <col min="9" max="9" width="16" customWidth="1"/>
    <col min="10" max="10" width="15.85546875" customWidth="1"/>
    <col min="11" max="11" width="18" customWidth="1"/>
    <col min="12" max="12" width="17.5703125" customWidth="1"/>
    <col min="13" max="13" width="17.28515625" customWidth="1"/>
    <col min="14" max="14" width="13.7109375" customWidth="1"/>
    <col min="15" max="15" width="16" customWidth="1"/>
    <col min="16" max="19" width="13.7109375" customWidth="1"/>
  </cols>
  <sheetData>
    <row r="2" spans="3:19" x14ac:dyDescent="0.25">
      <c r="C2" s="3"/>
      <c r="D2" s="17" t="s">
        <v>9</v>
      </c>
      <c r="E2" s="18"/>
      <c r="F2" s="19"/>
      <c r="G2" s="3"/>
      <c r="H2" s="3"/>
      <c r="I2" s="3"/>
      <c r="J2" s="17" t="s">
        <v>10</v>
      </c>
      <c r="K2" s="18"/>
      <c r="L2" s="19"/>
      <c r="M2" s="3"/>
      <c r="N2" s="3"/>
      <c r="O2" s="3"/>
      <c r="P2" s="17" t="s">
        <v>8</v>
      </c>
      <c r="Q2" s="18"/>
      <c r="R2" s="19"/>
      <c r="S2" s="3"/>
    </row>
    <row r="3" spans="3:19" ht="16.5" x14ac:dyDescent="0.25">
      <c r="C3" s="4"/>
      <c r="D3" s="9" t="s">
        <v>5</v>
      </c>
      <c r="E3" s="9" t="s">
        <v>3</v>
      </c>
      <c r="F3" s="9" t="s">
        <v>4</v>
      </c>
      <c r="G3" s="10" t="s">
        <v>11</v>
      </c>
      <c r="H3" s="3"/>
      <c r="I3" s="4"/>
      <c r="J3" s="9" t="s">
        <v>5</v>
      </c>
      <c r="K3" s="9" t="s">
        <v>3</v>
      </c>
      <c r="L3" s="9" t="s">
        <v>4</v>
      </c>
      <c r="M3" s="10" t="s">
        <v>11</v>
      </c>
      <c r="N3" s="3"/>
      <c r="O3" s="4"/>
      <c r="P3" s="9" t="s">
        <v>5</v>
      </c>
      <c r="Q3" s="9" t="s">
        <v>3</v>
      </c>
      <c r="R3" s="9" t="s">
        <v>4</v>
      </c>
      <c r="S3" s="10" t="s">
        <v>11</v>
      </c>
    </row>
    <row r="4" spans="3:19" x14ac:dyDescent="0.25">
      <c r="C4" s="5" t="s">
        <v>12</v>
      </c>
      <c r="D4" s="11">
        <v>5.16E-2</v>
      </c>
      <c r="E4" s="11">
        <v>0.2271</v>
      </c>
      <c r="F4" s="11">
        <v>1.3899999999999999E-2</v>
      </c>
      <c r="G4" s="11">
        <v>0.87280000000000002</v>
      </c>
      <c r="H4" s="6"/>
      <c r="I4" s="5" t="s">
        <v>12</v>
      </c>
      <c r="J4" s="11">
        <v>0.10299999999999999</v>
      </c>
      <c r="K4" s="11">
        <v>0.32090000000000002</v>
      </c>
      <c r="L4" s="11">
        <v>1.9300000000000001E-2</v>
      </c>
      <c r="M4" s="11">
        <v>0.93540000000000001</v>
      </c>
      <c r="N4" s="6"/>
      <c r="O4" s="5" t="s">
        <v>12</v>
      </c>
      <c r="P4" s="11">
        <v>0.12570000000000001</v>
      </c>
      <c r="Q4" s="11">
        <v>0.35449999999999998</v>
      </c>
      <c r="R4" s="11">
        <v>2.3800000000000002E-2</v>
      </c>
      <c r="S4" s="11">
        <v>0.94399999999999995</v>
      </c>
    </row>
    <row r="5" spans="3:19" x14ac:dyDescent="0.25">
      <c r="C5" s="5" t="s">
        <v>13</v>
      </c>
      <c r="D5" s="11">
        <v>8.0199999999999994E-2</v>
      </c>
      <c r="E5" s="11">
        <v>0.28320000000000001</v>
      </c>
      <c r="F5" s="11">
        <v>1.8100000000000002E-2</v>
      </c>
      <c r="G5" s="11">
        <v>0.80230000000000001</v>
      </c>
      <c r="H5" s="6"/>
      <c r="I5" s="5" t="s">
        <v>13</v>
      </c>
      <c r="J5" s="11">
        <v>7.5300000000000006E-2</v>
      </c>
      <c r="K5" s="11">
        <v>0.27439999999999998</v>
      </c>
      <c r="L5" s="11">
        <v>1.72E-2</v>
      </c>
      <c r="M5" s="11">
        <v>0.95279999999999998</v>
      </c>
      <c r="N5" s="6"/>
      <c r="O5" s="5" t="s">
        <v>13</v>
      </c>
      <c r="P5" s="11">
        <v>0.1069</v>
      </c>
      <c r="Q5" s="11">
        <v>0.32700000000000001</v>
      </c>
      <c r="R5" s="11">
        <v>2.2700000000000001E-2</v>
      </c>
      <c r="S5" s="11">
        <v>0.95240000000000002</v>
      </c>
    </row>
    <row r="6" spans="3:19" x14ac:dyDescent="0.25">
      <c r="C6" s="5" t="s">
        <v>14</v>
      </c>
      <c r="D6" s="11">
        <v>6.3E-2</v>
      </c>
      <c r="E6" s="11">
        <v>0.25090000000000001</v>
      </c>
      <c r="F6" s="11">
        <v>1.6199999999999999E-2</v>
      </c>
      <c r="G6" s="11">
        <v>0.8448</v>
      </c>
      <c r="H6" s="6"/>
      <c r="I6" s="5" t="s">
        <v>14</v>
      </c>
      <c r="J6" s="11">
        <v>4.6300000000000001E-2</v>
      </c>
      <c r="K6" s="11">
        <v>0.21510000000000001</v>
      </c>
      <c r="L6" s="11">
        <v>1.5800000000000002E-2</v>
      </c>
      <c r="M6" s="11">
        <v>0.97099999999999997</v>
      </c>
      <c r="N6" s="6"/>
      <c r="O6" s="5" t="s">
        <v>14</v>
      </c>
      <c r="P6" s="11">
        <v>0.1081</v>
      </c>
      <c r="Q6" s="11">
        <v>0.32879999999999998</v>
      </c>
      <c r="R6" s="11">
        <v>2.46E-2</v>
      </c>
      <c r="S6" s="11">
        <v>0.95179999999999998</v>
      </c>
    </row>
    <row r="7" spans="3:19" x14ac:dyDescent="0.25">
      <c r="C7" s="5" t="s">
        <v>15</v>
      </c>
      <c r="D7" s="11">
        <v>5.0299999999999997E-2</v>
      </c>
      <c r="E7" s="11">
        <v>0.22420000000000001</v>
      </c>
      <c r="F7" s="11">
        <v>1.49E-2</v>
      </c>
      <c r="G7" s="11">
        <v>0.876</v>
      </c>
      <c r="H7" s="6"/>
      <c r="I7" s="5" t="s">
        <v>15</v>
      </c>
      <c r="J7" s="11">
        <v>0.10589999999999999</v>
      </c>
      <c r="K7" s="11">
        <v>0.32540000000000002</v>
      </c>
      <c r="L7" s="11">
        <v>1.9400000000000001E-2</v>
      </c>
      <c r="M7" s="11">
        <v>0.93359999999999999</v>
      </c>
      <c r="N7" s="6"/>
      <c r="O7" s="5" t="s">
        <v>15</v>
      </c>
      <c r="P7" s="11">
        <v>0.1371</v>
      </c>
      <c r="Q7" s="11">
        <v>0.37019999999999997</v>
      </c>
      <c r="R7" s="11">
        <v>2.63E-2</v>
      </c>
      <c r="S7" s="11">
        <v>0.93899999999999995</v>
      </c>
    </row>
    <row r="8" spans="3:19" x14ac:dyDescent="0.25">
      <c r="C8" s="5" t="s">
        <v>16</v>
      </c>
      <c r="D8" s="11">
        <v>5.4600000000000003E-2</v>
      </c>
      <c r="E8" s="11">
        <v>0.23369999999999999</v>
      </c>
      <c r="F8" s="11">
        <v>1.38E-2</v>
      </c>
      <c r="G8" s="11">
        <v>0.86539999999999995</v>
      </c>
      <c r="H8" s="6"/>
      <c r="I8" s="5" t="s">
        <v>16</v>
      </c>
      <c r="J8" s="11">
        <v>8.43E-2</v>
      </c>
      <c r="K8" s="11">
        <v>0.29039999999999999</v>
      </c>
      <c r="L8" s="11">
        <v>1.78E-2</v>
      </c>
      <c r="M8" s="11">
        <v>0.94710000000000005</v>
      </c>
      <c r="N8" s="6"/>
      <c r="O8" s="5" t="s">
        <v>16</v>
      </c>
      <c r="P8" s="11">
        <v>0.10349999999999999</v>
      </c>
      <c r="Q8" s="11">
        <v>0.32169999999999999</v>
      </c>
      <c r="R8" s="11">
        <v>2.3300000000000001E-2</v>
      </c>
      <c r="S8" s="11">
        <v>0.95389999999999997</v>
      </c>
    </row>
    <row r="9" spans="3:19" x14ac:dyDescent="0.25">
      <c r="C9" s="7"/>
      <c r="D9" s="12"/>
      <c r="E9" s="12"/>
      <c r="F9" s="12"/>
      <c r="G9" s="13"/>
      <c r="H9" s="6"/>
      <c r="I9" s="7"/>
      <c r="J9" s="12"/>
      <c r="K9" s="12"/>
      <c r="L9" s="12"/>
      <c r="M9" s="13"/>
      <c r="N9" s="6"/>
      <c r="O9" s="7"/>
      <c r="P9" s="12"/>
      <c r="Q9" s="12"/>
      <c r="R9" s="12"/>
      <c r="S9" s="13"/>
    </row>
    <row r="10" spans="3:19" x14ac:dyDescent="0.25">
      <c r="C10" s="8" t="s">
        <v>6</v>
      </c>
      <c r="D10" s="11">
        <f>AVERAGE(D4:D8)</f>
        <v>5.9939999999999993E-2</v>
      </c>
      <c r="E10" s="11">
        <f t="shared" ref="E10:F10" si="0">AVERAGE(E4:E8)</f>
        <v>0.24382000000000001</v>
      </c>
      <c r="F10" s="11">
        <f t="shared" si="0"/>
        <v>1.538E-2</v>
      </c>
      <c r="G10" s="11">
        <f>AVERAGE(G4:G8)</f>
        <v>0.85225999999999991</v>
      </c>
      <c r="H10" s="6"/>
      <c r="I10" s="8" t="s">
        <v>6</v>
      </c>
      <c r="J10" s="11">
        <f>AVERAGE(J4:J8)</f>
        <v>8.2960000000000006E-2</v>
      </c>
      <c r="K10" s="11">
        <f t="shared" ref="K10:L10" si="1">AVERAGE(K4:K8)</f>
        <v>0.28524000000000005</v>
      </c>
      <c r="L10" s="11">
        <f t="shared" si="1"/>
        <v>1.7900000000000003E-2</v>
      </c>
      <c r="M10" s="11">
        <f>AVERAGE(M4:M8)</f>
        <v>0.94797999999999993</v>
      </c>
      <c r="N10" s="6"/>
      <c r="O10" s="8" t="s">
        <v>6</v>
      </c>
      <c r="P10" s="11">
        <f>AVERAGE(P4:P8)</f>
        <v>0.11626</v>
      </c>
      <c r="Q10" s="11">
        <f>AVERAGE(Q4:Q8)</f>
        <v>0.34043999999999996</v>
      </c>
      <c r="R10" s="11">
        <f t="shared" ref="R10" si="2">AVERAGE(R4:R8)</f>
        <v>2.4140000000000002E-2</v>
      </c>
      <c r="S10" s="11">
        <f>AVERAGE(S4:S8)</f>
        <v>0.94821999999999984</v>
      </c>
    </row>
    <row r="11" spans="3:19" x14ac:dyDescent="0.25">
      <c r="C11" s="8" t="s">
        <v>7</v>
      </c>
      <c r="D11" s="11">
        <f>_xlfn.STDEV.S(D4:D8)</f>
        <v>1.2357507839366375E-2</v>
      </c>
      <c r="E11" s="11">
        <f>_xlfn.STDEV.S(E4:E8)</f>
        <v>2.4330166460589622E-2</v>
      </c>
      <c r="F11" s="11">
        <f>_xlfn.STDEV.S(F4:F8)</f>
        <v>1.8019433953373792E-3</v>
      </c>
      <c r="G11" s="11">
        <f>_xlfn.STDEV.S(G4:G8)</f>
        <v>3.0454030931881572E-2</v>
      </c>
      <c r="H11" s="6"/>
      <c r="I11" s="8" t="s">
        <v>7</v>
      </c>
      <c r="J11" s="11">
        <f>_xlfn.STDEV.S(J4:J8)</f>
        <v>2.4146801030364231E-2</v>
      </c>
      <c r="K11" s="11">
        <f t="shared" ref="K11" si="3">_xlfn.STDEV.S(K4:K8)</f>
        <v>4.4576372665347891E-2</v>
      </c>
      <c r="L11" s="11">
        <f>_xlfn.STDEV.S(L4:L8)</f>
        <v>1.5099668870541499E-3</v>
      </c>
      <c r="M11" s="11">
        <f>_xlfn.STDEV.S(M4:M8)</f>
        <v>1.5157242493276924E-2</v>
      </c>
      <c r="N11" s="6"/>
      <c r="O11" s="8" t="s">
        <v>7</v>
      </c>
      <c r="P11" s="11">
        <f>_xlfn.STDEV.S(P4:P8)</f>
        <v>1.4495102621230284E-2</v>
      </c>
      <c r="Q11" s="11">
        <f>_xlfn.STDEV.S(Q4:Q8)</f>
        <v>2.0920396745759857E-2</v>
      </c>
      <c r="R11" s="11">
        <f>_xlfn.STDEV.S(R4:R8)</f>
        <v>1.3939153489362253E-3</v>
      </c>
      <c r="S11" s="11">
        <f>_xlfn.STDEV.S(S4:S8)</f>
        <v>6.4297744906023167E-3</v>
      </c>
    </row>
    <row r="18" spans="8:13" ht="16.5" x14ac:dyDescent="0.25">
      <c r="H18" s="15" t="s">
        <v>17</v>
      </c>
      <c r="I18" s="15" t="s">
        <v>23</v>
      </c>
      <c r="J18" s="16" t="s">
        <v>19</v>
      </c>
      <c r="K18" s="15" t="s">
        <v>20</v>
      </c>
      <c r="L18" s="15" t="s">
        <v>21</v>
      </c>
      <c r="M18" s="15" t="s">
        <v>22</v>
      </c>
    </row>
    <row r="19" spans="8:13" x14ac:dyDescent="0.25">
      <c r="H19" s="20" t="s">
        <v>18</v>
      </c>
      <c r="I19" s="2" t="s">
        <v>0</v>
      </c>
      <c r="J19" s="2" t="str">
        <f>TEXT(G10,"0,0000")&amp;" ± "&amp;TEXT(G11,"0,0000")</f>
        <v>0,8523 ± 0,0305</v>
      </c>
      <c r="K19" s="2" t="str">
        <f>TEXT(E10,"0,0000")&amp;" ± "&amp;TEXT(E11,"0,0000")</f>
        <v>0,2438 ± 0,0243</v>
      </c>
      <c r="L19" s="2" t="str">
        <f>TEXT(D10,"0,0000")&amp;" ± "&amp;TEXT(D11,"0,0000")</f>
        <v>0,0599 ± 0,0124</v>
      </c>
      <c r="M19" s="2" t="str">
        <f>TEXT(F10,"0,0000")&amp;" ± "&amp;TEXT(F11,"0,0000")</f>
        <v>0,0154 ± 0,0018</v>
      </c>
    </row>
    <row r="20" spans="8:13" x14ac:dyDescent="0.25">
      <c r="H20" s="21"/>
      <c r="I20" s="2" t="s">
        <v>1</v>
      </c>
      <c r="J20" s="2" t="str">
        <f>TEXT(M10,"0,0000")&amp;" ± "&amp;TEXT(M11,"0,0000")</f>
        <v>0,9480 ± 0,0152</v>
      </c>
      <c r="K20" s="2" t="str">
        <f>TEXT(K10,"0,0000")&amp;" ± "&amp;TEXT(K11,"0,0000")</f>
        <v>0,2852 ± 0,0446</v>
      </c>
      <c r="L20" s="2" t="str">
        <f>TEXT(J10,"0,0000")&amp;" ± "&amp;TEXT(J11,"0,0000")</f>
        <v>0,0830 ± 0,0241</v>
      </c>
      <c r="M20" s="2" t="str">
        <f>TEXT(L10,"0,0000")&amp;" ± "&amp;TEXT(L11,"0,0000")</f>
        <v>0,0179 ± 0,0015</v>
      </c>
    </row>
    <row r="21" spans="8:13" x14ac:dyDescent="0.25">
      <c r="H21" s="22"/>
      <c r="I21" s="2" t="s">
        <v>2</v>
      </c>
      <c r="J21" s="2" t="str">
        <f>TEXT(S10,"0,0000")&amp;" ± "&amp;TEXT(S11,"0,0000")</f>
        <v>0,9482 ± 0,0064</v>
      </c>
      <c r="K21" s="2" t="str">
        <f>TEXT(Q10,"0,0000")&amp;" ± "&amp;TEXT(Q11,"0,0000")</f>
        <v>0,3404 ± 0,0209</v>
      </c>
      <c r="L21" s="2" t="str">
        <f>TEXT(P10,"0,0000")&amp;" ± "&amp;TEXT(P11,"0,0000")</f>
        <v>0,1163 ± 0,0145</v>
      </c>
      <c r="M21" s="2" t="str">
        <f>TEXT(R10,"0,0000")&amp;" ± "&amp;TEXT(R11,"0,0000")</f>
        <v>0,0241 ± 0,0014</v>
      </c>
    </row>
  </sheetData>
  <mergeCells count="4">
    <mergeCell ref="D2:F2"/>
    <mergeCell ref="J2:L2"/>
    <mergeCell ref="P2:R2"/>
    <mergeCell ref="H19:H21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56BC-E02D-4B96-A0ED-6233E991BB2E}">
  <dimension ref="D1:P14"/>
  <sheetViews>
    <sheetView tabSelected="1" topLeftCell="E1" zoomScale="91" zoomScaleNormal="91" workbookViewId="0">
      <selection activeCell="K1" sqref="K1:P13"/>
    </sheetView>
  </sheetViews>
  <sheetFormatPr baseColWidth="10" defaultRowHeight="15" x14ac:dyDescent="0.25"/>
  <cols>
    <col min="6" max="6" width="15.7109375" customWidth="1"/>
    <col min="7" max="7" width="17.7109375" customWidth="1"/>
    <col min="8" max="8" width="16.85546875" customWidth="1"/>
    <col min="9" max="9" width="17.42578125" customWidth="1"/>
    <col min="12" max="12" width="12.42578125" customWidth="1"/>
    <col min="13" max="13" width="16.28515625" customWidth="1"/>
    <col min="14" max="14" width="18.140625" customWidth="1"/>
    <col min="15" max="15" width="17.7109375" customWidth="1"/>
    <col min="16" max="16" width="17" customWidth="1"/>
  </cols>
  <sheetData>
    <row r="1" spans="4:16" ht="18" customHeight="1" x14ac:dyDescent="0.25">
      <c r="D1" s="26" t="s">
        <v>17</v>
      </c>
      <c r="E1" s="26" t="s">
        <v>23</v>
      </c>
      <c r="F1" s="28" t="s">
        <v>27</v>
      </c>
      <c r="G1" s="26" t="s">
        <v>20</v>
      </c>
      <c r="H1" s="26" t="s">
        <v>21</v>
      </c>
      <c r="I1" s="26" t="s">
        <v>22</v>
      </c>
      <c r="K1" s="26" t="s">
        <v>17</v>
      </c>
      <c r="L1" s="26" t="s">
        <v>23</v>
      </c>
      <c r="M1" s="30" t="s">
        <v>27</v>
      </c>
      <c r="N1" s="26" t="s">
        <v>20</v>
      </c>
      <c r="O1" s="26" t="s">
        <v>21</v>
      </c>
      <c r="P1" s="26" t="s">
        <v>22</v>
      </c>
    </row>
    <row r="2" spans="4:16" ht="18" customHeight="1" x14ac:dyDescent="0.25">
      <c r="D2" s="23" t="s">
        <v>18</v>
      </c>
      <c r="E2" s="29" t="s">
        <v>0</v>
      </c>
      <c r="F2" s="27" t="s">
        <v>28</v>
      </c>
      <c r="G2" s="27" t="s">
        <v>29</v>
      </c>
      <c r="H2" s="27" t="s">
        <v>30</v>
      </c>
      <c r="I2" s="27" t="s">
        <v>31</v>
      </c>
      <c r="K2" s="23" t="s">
        <v>18</v>
      </c>
      <c r="L2" s="29" t="s">
        <v>0</v>
      </c>
      <c r="M2" s="27" t="str">
        <f>SUBSTITUTE(F2,",",".")</f>
        <v>0.8265 ± 0.0356</v>
      </c>
      <c r="N2" s="27" t="str">
        <f t="shared" ref="N2:P13" si="0">SUBSTITUTE(G2,",",".")</f>
        <v>0.2643 ± 0.0260</v>
      </c>
      <c r="O2" s="27" t="str">
        <f t="shared" si="0"/>
        <v>0.0704 ± 0.0144</v>
      </c>
      <c r="P2" s="27" t="str">
        <f t="shared" si="0"/>
        <v>0.0173 ± 0.0018</v>
      </c>
    </row>
    <row r="3" spans="4:16" ht="18" customHeight="1" x14ac:dyDescent="0.25">
      <c r="D3" s="24"/>
      <c r="E3" s="29" t="s">
        <v>1</v>
      </c>
      <c r="F3" s="27" t="s">
        <v>32</v>
      </c>
      <c r="G3" s="27" t="s">
        <v>33</v>
      </c>
      <c r="H3" s="27" t="s">
        <v>34</v>
      </c>
      <c r="I3" s="27" t="s">
        <v>35</v>
      </c>
      <c r="K3" s="24"/>
      <c r="L3" s="29" t="s">
        <v>1</v>
      </c>
      <c r="M3" s="27" t="str">
        <f t="shared" ref="M3:M13" si="1">SUBSTITUTE(F3,",",".")</f>
        <v>0.9338 ± 0.0123</v>
      </c>
      <c r="N3" s="27" t="str">
        <f t="shared" si="0"/>
        <v>0.3237 ± 0.0302</v>
      </c>
      <c r="O3" s="27" t="str">
        <f t="shared" si="0"/>
        <v>0.1055 ± 0.0197</v>
      </c>
      <c r="P3" s="27" t="str">
        <f t="shared" si="0"/>
        <v>0.0190 ± 0.0011</v>
      </c>
    </row>
    <row r="4" spans="4:16" ht="18" customHeight="1" x14ac:dyDescent="0.25">
      <c r="D4" s="25"/>
      <c r="E4" s="29" t="s">
        <v>2</v>
      </c>
      <c r="F4" s="27" t="s">
        <v>36</v>
      </c>
      <c r="G4" s="27" t="s">
        <v>37</v>
      </c>
      <c r="H4" s="27" t="s">
        <v>38</v>
      </c>
      <c r="I4" s="27" t="s">
        <v>39</v>
      </c>
      <c r="K4" s="25"/>
      <c r="L4" s="29" t="s">
        <v>2</v>
      </c>
      <c r="M4" s="27" t="str">
        <f t="shared" si="1"/>
        <v>0.9434 ± 0.0306</v>
      </c>
      <c r="N4" s="27" t="str">
        <f t="shared" si="0"/>
        <v>0.3478 ± 0.0864</v>
      </c>
      <c r="O4" s="27" t="str">
        <f t="shared" si="0"/>
        <v>0.1270 ± 0.0688</v>
      </c>
      <c r="P4" s="27" t="str">
        <f t="shared" si="0"/>
        <v>0.0245 ± 0.0035</v>
      </c>
    </row>
    <row r="5" spans="4:16" ht="18" customHeight="1" x14ac:dyDescent="0.25">
      <c r="D5" s="23" t="s">
        <v>24</v>
      </c>
      <c r="E5" s="29" t="s">
        <v>0</v>
      </c>
      <c r="F5" s="27" t="s">
        <v>40</v>
      </c>
      <c r="G5" s="27" t="s">
        <v>41</v>
      </c>
      <c r="H5" s="27" t="s">
        <v>42</v>
      </c>
      <c r="I5" s="27" t="s">
        <v>43</v>
      </c>
      <c r="K5" s="23" t="s">
        <v>24</v>
      </c>
      <c r="L5" s="29" t="s">
        <v>0</v>
      </c>
      <c r="M5" s="27" t="str">
        <f t="shared" si="1"/>
        <v>0.7992 ± 0.0470</v>
      </c>
      <c r="N5" s="27" t="str">
        <f t="shared" si="0"/>
        <v>0.2839 ± 0.0327</v>
      </c>
      <c r="O5" s="27" t="str">
        <f t="shared" si="0"/>
        <v>0.0815 ± 0.0191</v>
      </c>
      <c r="P5" s="27" t="str">
        <f t="shared" si="0"/>
        <v>0.0182 ± 0.0030</v>
      </c>
    </row>
    <row r="6" spans="4:16" ht="18" customHeight="1" x14ac:dyDescent="0.25">
      <c r="D6" s="24"/>
      <c r="E6" s="29" t="s">
        <v>1</v>
      </c>
      <c r="F6" s="27" t="s">
        <v>44</v>
      </c>
      <c r="G6" s="27" t="s">
        <v>45</v>
      </c>
      <c r="H6" s="27" t="s">
        <v>46</v>
      </c>
      <c r="I6" s="27" t="s">
        <v>47</v>
      </c>
      <c r="K6" s="24"/>
      <c r="L6" s="29" t="s">
        <v>1</v>
      </c>
      <c r="M6" s="27" t="str">
        <f t="shared" si="1"/>
        <v>0.9190 ± 0.0360</v>
      </c>
      <c r="N6" s="27" t="str">
        <f t="shared" si="0"/>
        <v>0.3521 ± 0.0803</v>
      </c>
      <c r="O6" s="27" t="str">
        <f t="shared" si="0"/>
        <v>0.1291 ± 0.0573</v>
      </c>
      <c r="P6" s="27" t="str">
        <f t="shared" si="0"/>
        <v>0.0209 ± 0.0035</v>
      </c>
    </row>
    <row r="7" spans="4:16" ht="18" customHeight="1" x14ac:dyDescent="0.25">
      <c r="D7" s="24"/>
      <c r="E7" s="29" t="s">
        <v>2</v>
      </c>
      <c r="F7" s="27" t="s">
        <v>48</v>
      </c>
      <c r="G7" s="27" t="s">
        <v>49</v>
      </c>
      <c r="H7" s="27" t="s">
        <v>50</v>
      </c>
      <c r="I7" s="27" t="s">
        <v>51</v>
      </c>
      <c r="K7" s="24"/>
      <c r="L7" s="29" t="s">
        <v>2</v>
      </c>
      <c r="M7" s="27" t="str">
        <f t="shared" si="1"/>
        <v>0.9266 ± 0.0302</v>
      </c>
      <c r="N7" s="27" t="str">
        <f t="shared" si="0"/>
        <v>0.3989 ± 0.0840</v>
      </c>
      <c r="O7" s="27" t="str">
        <f t="shared" si="0"/>
        <v>0.1648 ± 0.0679</v>
      </c>
      <c r="P7" s="27" t="str">
        <f t="shared" si="0"/>
        <v>0.0265 ± 0.0038</v>
      </c>
    </row>
    <row r="8" spans="4:16" ht="18" customHeight="1" x14ac:dyDescent="0.25">
      <c r="D8" s="23" t="s">
        <v>25</v>
      </c>
      <c r="E8" s="29" t="s">
        <v>0</v>
      </c>
      <c r="F8" s="27" t="s">
        <v>52</v>
      </c>
      <c r="G8" s="27" t="s">
        <v>53</v>
      </c>
      <c r="H8" s="27" t="s">
        <v>54</v>
      </c>
      <c r="I8" s="27" t="s">
        <v>55</v>
      </c>
      <c r="K8" s="23" t="s">
        <v>25</v>
      </c>
      <c r="L8" s="29" t="s">
        <v>0</v>
      </c>
      <c r="M8" s="27" t="str">
        <f t="shared" si="1"/>
        <v>0.6707 ± 0.3288</v>
      </c>
      <c r="N8" s="27" t="str">
        <f t="shared" si="0"/>
        <v>0.3392 ± 0.1520</v>
      </c>
      <c r="O8" s="27" t="str">
        <f t="shared" si="0"/>
        <v>0.1336 ± 0.1334</v>
      </c>
      <c r="P8" s="27" t="str">
        <f t="shared" si="0"/>
        <v>0.0228 ± 0.0112</v>
      </c>
    </row>
    <row r="9" spans="4:16" ht="18" customHeight="1" x14ac:dyDescent="0.25">
      <c r="D9" s="24"/>
      <c r="E9" s="29" t="s">
        <v>1</v>
      </c>
      <c r="F9" s="27" t="s">
        <v>56</v>
      </c>
      <c r="G9" s="27" t="s">
        <v>57</v>
      </c>
      <c r="H9" s="27" t="s">
        <v>58</v>
      </c>
      <c r="I9" s="27" t="s">
        <v>59</v>
      </c>
      <c r="K9" s="24"/>
      <c r="L9" s="29" t="s">
        <v>1</v>
      </c>
      <c r="M9" s="27" t="str">
        <f t="shared" si="1"/>
        <v>0.9254 ± 0.0493</v>
      </c>
      <c r="N9" s="27" t="str">
        <f t="shared" si="0"/>
        <v>0.3300 ± 0.1119</v>
      </c>
      <c r="O9" s="27" t="str">
        <f t="shared" si="0"/>
        <v>0.1189 ± 0.0785</v>
      </c>
      <c r="P9" s="27" t="str">
        <f t="shared" si="0"/>
        <v>0.0204 ± 0.0050</v>
      </c>
    </row>
    <row r="10" spans="4:16" ht="18" customHeight="1" x14ac:dyDescent="0.25">
      <c r="D10" s="25"/>
      <c r="E10" s="29" t="s">
        <v>2</v>
      </c>
      <c r="F10" s="27" t="s">
        <v>60</v>
      </c>
      <c r="G10" s="27" t="s">
        <v>61</v>
      </c>
      <c r="H10" s="27" t="s">
        <v>62</v>
      </c>
      <c r="I10" s="27" t="s">
        <v>63</v>
      </c>
      <c r="K10" s="25"/>
      <c r="L10" s="29" t="s">
        <v>2</v>
      </c>
      <c r="M10" s="27" t="str">
        <f t="shared" si="1"/>
        <v>0.9197 ± 0.0516</v>
      </c>
      <c r="N10" s="27" t="str">
        <f t="shared" si="0"/>
        <v>0.4080 ± 0.1316</v>
      </c>
      <c r="O10" s="27" t="str">
        <f t="shared" si="0"/>
        <v>0.1803 ± 0.1159</v>
      </c>
      <c r="P10" s="27" t="str">
        <f t="shared" si="0"/>
        <v>0.0279 ± 0.0065</v>
      </c>
    </row>
    <row r="11" spans="4:16" ht="18" customHeight="1" x14ac:dyDescent="0.25">
      <c r="D11" s="24" t="s">
        <v>26</v>
      </c>
      <c r="E11" s="29" t="s">
        <v>0</v>
      </c>
      <c r="F11" s="27" t="s">
        <v>64</v>
      </c>
      <c r="G11" s="27" t="s">
        <v>65</v>
      </c>
      <c r="H11" s="27" t="s">
        <v>66</v>
      </c>
      <c r="I11" s="27" t="s">
        <v>67</v>
      </c>
      <c r="K11" s="24" t="s">
        <v>26</v>
      </c>
      <c r="L11" s="29" t="s">
        <v>0</v>
      </c>
      <c r="M11" s="27" t="str">
        <f t="shared" si="1"/>
        <v>0.8523 ± 0.0305</v>
      </c>
      <c r="N11" s="27" t="str">
        <f t="shared" si="0"/>
        <v>0.2438 ± 0.0243</v>
      </c>
      <c r="O11" s="27" t="str">
        <f t="shared" si="0"/>
        <v>0.0599 ± 0.0124</v>
      </c>
      <c r="P11" s="27" t="str">
        <f t="shared" si="0"/>
        <v>0.0154 ± 0.0018</v>
      </c>
    </row>
    <row r="12" spans="4:16" ht="18" customHeight="1" x14ac:dyDescent="0.25">
      <c r="D12" s="24"/>
      <c r="E12" s="29" t="s">
        <v>1</v>
      </c>
      <c r="F12" s="27" t="s">
        <v>68</v>
      </c>
      <c r="G12" s="27" t="s">
        <v>69</v>
      </c>
      <c r="H12" s="27" t="s">
        <v>70</v>
      </c>
      <c r="I12" s="27" t="s">
        <v>71</v>
      </c>
      <c r="K12" s="24"/>
      <c r="L12" s="29" t="s">
        <v>1</v>
      </c>
      <c r="M12" s="27" t="str">
        <f t="shared" si="1"/>
        <v>0.9480 ± 0.0152</v>
      </c>
      <c r="N12" s="27" t="str">
        <f t="shared" si="0"/>
        <v>0.2852 ± 0.0446</v>
      </c>
      <c r="O12" s="27" t="str">
        <f t="shared" si="0"/>
        <v>0.0830 ± 0.0241</v>
      </c>
      <c r="P12" s="27" t="str">
        <f t="shared" si="0"/>
        <v>0.0179 ± 0.0015</v>
      </c>
    </row>
    <row r="13" spans="4:16" ht="18" customHeight="1" x14ac:dyDescent="0.25">
      <c r="D13" s="25"/>
      <c r="E13" s="29" t="s">
        <v>2</v>
      </c>
      <c r="F13" s="27" t="s">
        <v>72</v>
      </c>
      <c r="G13" s="27" t="s">
        <v>73</v>
      </c>
      <c r="H13" s="27" t="s">
        <v>74</v>
      </c>
      <c r="I13" s="27" t="s">
        <v>75</v>
      </c>
      <c r="K13" s="25"/>
      <c r="L13" s="29" t="s">
        <v>2</v>
      </c>
      <c r="M13" s="27" t="str">
        <f t="shared" si="1"/>
        <v>0.9482 ± 0.0064</v>
      </c>
      <c r="N13" s="27" t="str">
        <f t="shared" si="0"/>
        <v>0.3404 ± 0.0209</v>
      </c>
      <c r="O13" s="27" t="str">
        <f t="shared" si="0"/>
        <v>0.1163 ± 0.0145</v>
      </c>
      <c r="P13" s="27" t="str">
        <f t="shared" si="0"/>
        <v>0.0241 ± 0.0014</v>
      </c>
    </row>
    <row r="14" spans="4:16" ht="18" customHeight="1" x14ac:dyDescent="0.25"/>
  </sheetData>
  <mergeCells count="8">
    <mergeCell ref="D5:D7"/>
    <mergeCell ref="D2:D4"/>
    <mergeCell ref="D8:D10"/>
    <mergeCell ref="D11:D13"/>
    <mergeCell ref="K2:K4"/>
    <mergeCell ref="K5:K7"/>
    <mergeCell ref="K8:K10"/>
    <mergeCell ref="K11:K1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GCN</vt:lpstr>
      <vt:lpstr>GAT</vt:lpstr>
      <vt:lpstr>GraphSAGE</vt:lpstr>
      <vt:lpstr>TradeGraph</vt:lpstr>
      <vt:lpstr>Comparison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2026-07-27T17:16:02Z</dcterms:created>
  <dcterms:modified xsi:type="dcterms:W3CDTF">2026-07-29T00:06:11Z</dcterms:modified>
</cp:coreProperties>
</file>