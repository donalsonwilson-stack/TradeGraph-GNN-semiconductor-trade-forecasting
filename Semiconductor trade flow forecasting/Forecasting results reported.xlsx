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/>
  <mc:AlternateContent xmlns:mc="http://schemas.openxmlformats.org/markup-compatibility/2006">
    <mc:Choice Requires="x15">
      <x15ac:absPath xmlns:x15ac="http://schemas.microsoft.com/office/spreadsheetml/2010/11/ac" url="C:\Users\ASUS\Documents\Python Scripts\Mes projets\Mes articles\GNN\Github version\Semiconducter trade flow forecasting\"/>
    </mc:Choice>
  </mc:AlternateContent>
  <xr:revisionPtr revIDLastSave="0" documentId="13_ncr:1_{C7F1DAC5-169E-4E59-9172-5B07F704E5E5}" xr6:coauthVersionLast="36" xr6:coauthVersionMax="36" xr10:uidLastSave="{00000000-0000-0000-0000-000000000000}"/>
  <bookViews>
    <workbookView xWindow="0" yWindow="0" windowWidth="20490" windowHeight="6345" activeTab="2" xr2:uid="{00000000-000D-0000-FFFF-FFFF00000000}"/>
  </bookViews>
  <sheets>
    <sheet name="Top Bilateral trade forecast" sheetId="1" r:id="rId1"/>
    <sheet name="Top Export forecast" sheetId="2" r:id="rId2"/>
    <sheet name="Top import forecast" sheetId="3" r:id="rId3"/>
  </sheets>
  <calcPr calcId="191029"/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16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</calcChain>
</file>

<file path=xl/sharedStrings.xml><?xml version="1.0" encoding="utf-8"?>
<sst xmlns="http://schemas.openxmlformats.org/spreadsheetml/2006/main" count="207" uniqueCount="65">
  <si>
    <t>Exporter</t>
  </si>
  <si>
    <t>Importer</t>
  </si>
  <si>
    <t>Trade 2024 (Billion USD)</t>
  </si>
  <si>
    <t>Forecast 2025 (Billion USD)</t>
  </si>
  <si>
    <t>Growth (%)</t>
  </si>
  <si>
    <t>China</t>
  </si>
  <si>
    <t>China, Hong Kong SAR</t>
  </si>
  <si>
    <t>Other Asia, nes</t>
  </si>
  <si>
    <t>Rep. of Korea</t>
  </si>
  <si>
    <t>Singapore</t>
  </si>
  <si>
    <t>Malaysia</t>
  </si>
  <si>
    <t>Japan</t>
  </si>
  <si>
    <t>Viet Nam</t>
  </si>
  <si>
    <t>India</t>
  </si>
  <si>
    <t>USA</t>
  </si>
  <si>
    <t>Germany</t>
  </si>
  <si>
    <t>+15.590</t>
  </si>
  <si>
    <t>+44.143</t>
  </si>
  <si>
    <t>+5.851</t>
  </si>
  <si>
    <t>+33.845</t>
  </si>
  <si>
    <t>-8.913</t>
  </si>
  <si>
    <t>-3.053</t>
  </si>
  <si>
    <t>+39.801</t>
  </si>
  <si>
    <t>+49.169</t>
  </si>
  <si>
    <t>+17.038</t>
  </si>
  <si>
    <t>+27.972</t>
  </si>
  <si>
    <t>+42.858</t>
  </si>
  <si>
    <t>-15.131</t>
  </si>
  <si>
    <t>-19.643</t>
  </si>
  <si>
    <t>-43.093</t>
  </si>
  <si>
    <t>+12.550</t>
  </si>
  <si>
    <t>+9.345</t>
  </si>
  <si>
    <t>-13.598</t>
  </si>
  <si>
    <t>+1.823</t>
  </si>
  <si>
    <t>+14.297</t>
  </si>
  <si>
    <t>-4.540</t>
  </si>
  <si>
    <t>-2.945</t>
  </si>
  <si>
    <t>+1.512</t>
  </si>
  <si>
    <t>+24.795</t>
  </si>
  <si>
    <t>+21.527</t>
  </si>
  <si>
    <t>-38.197</t>
  </si>
  <si>
    <t>Exports 2024 (Billion USD)</t>
  </si>
  <si>
    <t>Forecast Exports 2025 (Billion USD)</t>
  </si>
  <si>
    <t>Philippines</t>
  </si>
  <si>
    <t>Thailand</t>
  </si>
  <si>
    <t>Ireland</t>
  </si>
  <si>
    <t>Netherlands</t>
  </si>
  <si>
    <t>Israel</t>
  </si>
  <si>
    <t>France</t>
  </si>
  <si>
    <t>Mexico</t>
  </si>
  <si>
    <t>Italy</t>
  </si>
  <si>
    <t>Austria</t>
  </si>
  <si>
    <t>Costa Rica</t>
  </si>
  <si>
    <t>Belgium</t>
  </si>
  <si>
    <t>Cambodia</t>
  </si>
  <si>
    <t>United Kingdom</t>
  </si>
  <si>
    <t>Morocco</t>
  </si>
  <si>
    <t>Imports 2024 (Billion USD)</t>
  </si>
  <si>
    <t>Forecast Imports 2025 (Billion USD)</t>
  </si>
  <si>
    <t>Brazil</t>
  </si>
  <si>
    <t>Hungary</t>
  </si>
  <si>
    <t>Poland</t>
  </si>
  <si>
    <t>Spain</t>
  </si>
  <si>
    <t>Indonesia</t>
  </si>
  <si>
    <t>Czechia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</si>
</sst>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1" xfId="0" applyBorder="1" applyAlignment="1"/>
    <xf numFmtId="0" fontId="0" fillId="2" borderId="0" xfId="0" applyFill="1"/>
    <xf numFmtId="0" fontId="0" fillId="0" borderId="0" xfId="0" applyBorder="1" applyAlignment="1"/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opLeftCell="C4" workbookViewId="0">
      <selection activeCell="J1" sqref="J1:N16"/>
    </sheetView>
  </sheetViews>
  <sheetFormatPr baseColWidth="10" defaultColWidth="9.140625" defaultRowHeight="15" x14ac:dyDescent="0.25"/>
  <cols>
    <col min="1" max="1" width="15.28515625" customWidth="1"/>
    <col min="2" max="2" width="18.28515625" customWidth="1"/>
    <col min="3" max="3" width="12.140625" customWidth="1"/>
    <col min="4" max="4" width="17.28515625" customWidth="1"/>
    <col min="5" max="5" width="20.5703125" customWidth="1"/>
    <col min="10" max="10" width="14.42578125" customWidth="1"/>
    <col min="11" max="11" width="20.7109375" customWidth="1"/>
    <col min="12" max="12" width="15.140625" customWidth="1"/>
    <col min="13" max="13" width="20.42578125" customWidth="1"/>
    <col min="14" max="14" width="1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 x14ac:dyDescent="0.25">
      <c r="A2" t="s">
        <v>5</v>
      </c>
      <c r="B2" t="s">
        <v>6</v>
      </c>
      <c r="C2">
        <v>83.603999999999999</v>
      </c>
      <c r="D2">
        <v>96.63800048828125</v>
      </c>
      <c r="E2" t="s">
        <v>16</v>
      </c>
      <c r="J2" s="2" t="s">
        <v>5</v>
      </c>
      <c r="K2" s="2" t="s">
        <v>6</v>
      </c>
      <c r="L2" s="2" t="str">
        <f>SUBSTITUTE(TEXT(C2,"0,000"),",",".")</f>
        <v>83.604</v>
      </c>
      <c r="M2" s="2" t="str">
        <f>SUBSTITUTE(TEXT(D2,"0,000"),",",".")</f>
        <v>96.638</v>
      </c>
      <c r="N2" s="2" t="str">
        <f>E2</f>
        <v>+15.590</v>
      </c>
    </row>
    <row r="3" spans="1:14" x14ac:dyDescent="0.25">
      <c r="A3" t="s">
        <v>7</v>
      </c>
      <c r="B3" t="s">
        <v>5</v>
      </c>
      <c r="C3">
        <v>50.593000000000004</v>
      </c>
      <c r="D3">
        <v>72.926002502441406</v>
      </c>
      <c r="E3" t="s">
        <v>17</v>
      </c>
      <c r="J3" s="2" t="s">
        <v>7</v>
      </c>
      <c r="K3" s="2" t="s">
        <v>6</v>
      </c>
      <c r="L3" s="2" t="str">
        <f t="shared" ref="L3:L16" si="0">SUBSTITUTE(TEXT(C3,"0,000"),",",".")</f>
        <v>50.593</v>
      </c>
      <c r="M3" s="2" t="str">
        <f t="shared" ref="M3:M15" si="1">SUBSTITUTE(TEXT(D3,"0,000"),",",".")</f>
        <v>72.926</v>
      </c>
      <c r="N3" s="2" t="str">
        <f t="shared" ref="N3:N16" si="2">E3</f>
        <v>+44.143</v>
      </c>
    </row>
    <row r="4" spans="1:14" x14ac:dyDescent="0.25">
      <c r="A4" t="s">
        <v>8</v>
      </c>
      <c r="B4" t="s">
        <v>5</v>
      </c>
      <c r="C4">
        <v>64.41</v>
      </c>
      <c r="D4">
        <v>68.179000854492188</v>
      </c>
      <c r="E4" t="s">
        <v>18</v>
      </c>
      <c r="J4" s="2" t="s">
        <v>7</v>
      </c>
      <c r="K4" s="2" t="s">
        <v>5</v>
      </c>
      <c r="L4" s="2" t="str">
        <f t="shared" si="0"/>
        <v>64.410</v>
      </c>
      <c r="M4" s="2" t="str">
        <f t="shared" si="1"/>
        <v>68.179</v>
      </c>
      <c r="N4" s="2" t="str">
        <f t="shared" si="2"/>
        <v>+5.851</v>
      </c>
    </row>
    <row r="5" spans="1:14" x14ac:dyDescent="0.25">
      <c r="A5" t="s">
        <v>7</v>
      </c>
      <c r="B5" t="s">
        <v>6</v>
      </c>
      <c r="C5">
        <v>47.77</v>
      </c>
      <c r="D5">
        <v>63.937999725341797</v>
      </c>
      <c r="E5" t="s">
        <v>19</v>
      </c>
      <c r="J5" s="2" t="s">
        <v>8</v>
      </c>
      <c r="K5" s="2" t="s">
        <v>5</v>
      </c>
      <c r="L5" s="2" t="str">
        <f t="shared" si="0"/>
        <v>47.770</v>
      </c>
      <c r="M5" s="2" t="str">
        <f t="shared" si="1"/>
        <v>63.938</v>
      </c>
      <c r="N5" s="2" t="str">
        <f t="shared" si="2"/>
        <v>+33.845</v>
      </c>
    </row>
    <row r="6" spans="1:14" x14ac:dyDescent="0.25">
      <c r="A6" t="s">
        <v>7</v>
      </c>
      <c r="B6" t="s">
        <v>9</v>
      </c>
      <c r="C6">
        <v>45.918999999999997</v>
      </c>
      <c r="D6">
        <v>41.826000213623047</v>
      </c>
      <c r="E6" t="s">
        <v>20</v>
      </c>
      <c r="J6" s="2" t="s">
        <v>7</v>
      </c>
      <c r="K6" s="2" t="s">
        <v>9</v>
      </c>
      <c r="L6" s="2" t="str">
        <f t="shared" si="0"/>
        <v>45.919</v>
      </c>
      <c r="M6" s="2" t="str">
        <f t="shared" si="1"/>
        <v>41.826</v>
      </c>
      <c r="N6" s="2" t="str">
        <f t="shared" si="2"/>
        <v>-8.913</v>
      </c>
    </row>
    <row r="7" spans="1:14" x14ac:dyDescent="0.25">
      <c r="A7" t="s">
        <v>9</v>
      </c>
      <c r="B7" t="s">
        <v>6</v>
      </c>
      <c r="C7">
        <v>36.750999999999998</v>
      </c>
      <c r="D7">
        <v>35.629001617431641</v>
      </c>
      <c r="E7" t="s">
        <v>21</v>
      </c>
      <c r="J7" s="2" t="s">
        <v>9</v>
      </c>
      <c r="K7" s="2" t="s">
        <v>6</v>
      </c>
      <c r="L7" s="2" t="str">
        <f t="shared" si="0"/>
        <v>36.751</v>
      </c>
      <c r="M7" s="2" t="str">
        <f t="shared" si="1"/>
        <v>35.629</v>
      </c>
      <c r="N7" s="2" t="str">
        <f t="shared" si="2"/>
        <v>-3.053</v>
      </c>
    </row>
    <row r="8" spans="1:14" x14ac:dyDescent="0.25">
      <c r="A8" t="s">
        <v>10</v>
      </c>
      <c r="B8" t="s">
        <v>5</v>
      </c>
      <c r="C8">
        <v>20.971</v>
      </c>
      <c r="D8">
        <v>29.316999435424801</v>
      </c>
      <c r="E8" t="s">
        <v>22</v>
      </c>
      <c r="J8" s="2" t="s">
        <v>5</v>
      </c>
      <c r="K8" s="2" t="s">
        <v>8</v>
      </c>
      <c r="L8" s="2" t="str">
        <f t="shared" si="0"/>
        <v>20.971</v>
      </c>
      <c r="M8" s="2" t="str">
        <f t="shared" si="1"/>
        <v>29.317</v>
      </c>
      <c r="N8" s="2" t="str">
        <f t="shared" si="2"/>
        <v>+39.801</v>
      </c>
    </row>
    <row r="9" spans="1:14" x14ac:dyDescent="0.25">
      <c r="A9" t="s">
        <v>11</v>
      </c>
      <c r="B9" t="s">
        <v>5</v>
      </c>
      <c r="C9">
        <v>17.402999999999999</v>
      </c>
      <c r="D9">
        <v>25.95999908447266</v>
      </c>
      <c r="E9" t="s">
        <v>23</v>
      </c>
      <c r="J9" s="2" t="s">
        <v>5</v>
      </c>
      <c r="K9" s="2" t="s">
        <v>7</v>
      </c>
      <c r="L9" s="2" t="str">
        <f t="shared" si="0"/>
        <v>17.403</v>
      </c>
      <c r="M9" s="2" t="str">
        <f t="shared" si="1"/>
        <v>25.960</v>
      </c>
      <c r="N9" s="2" t="str">
        <f t="shared" si="2"/>
        <v>+49.169</v>
      </c>
    </row>
    <row r="10" spans="1:14" x14ac:dyDescent="0.25">
      <c r="A10" t="s">
        <v>5</v>
      </c>
      <c r="B10" t="s">
        <v>8</v>
      </c>
      <c r="C10">
        <v>21.01</v>
      </c>
      <c r="D10">
        <v>24.5890007019043</v>
      </c>
      <c r="E10" t="s">
        <v>24</v>
      </c>
      <c r="J10" s="2" t="s">
        <v>10</v>
      </c>
      <c r="K10" s="2" t="s">
        <v>5</v>
      </c>
      <c r="L10" s="2" t="str">
        <f t="shared" si="0"/>
        <v>21.010</v>
      </c>
      <c r="M10" s="2" t="str">
        <f t="shared" si="1"/>
        <v>24.589</v>
      </c>
      <c r="N10" s="2" t="str">
        <f t="shared" si="2"/>
        <v>+17.038</v>
      </c>
    </row>
    <row r="11" spans="1:14" x14ac:dyDescent="0.25">
      <c r="A11" t="s">
        <v>5</v>
      </c>
      <c r="B11" t="s">
        <v>7</v>
      </c>
      <c r="C11">
        <v>19.166</v>
      </c>
      <c r="D11">
        <v>24.52700042724609</v>
      </c>
      <c r="E11" t="s">
        <v>25</v>
      </c>
      <c r="J11" s="2" t="s">
        <v>11</v>
      </c>
      <c r="K11" s="2" t="s">
        <v>5</v>
      </c>
      <c r="L11" s="2" t="str">
        <f t="shared" si="0"/>
        <v>19.166</v>
      </c>
      <c r="M11" s="2" t="str">
        <f t="shared" si="1"/>
        <v>24.527</v>
      </c>
      <c r="N11" s="2" t="str">
        <f t="shared" si="2"/>
        <v>+27.972</v>
      </c>
    </row>
    <row r="12" spans="1:14" x14ac:dyDescent="0.25">
      <c r="A12" t="s">
        <v>7</v>
      </c>
      <c r="B12" t="s">
        <v>11</v>
      </c>
      <c r="C12">
        <v>13.776</v>
      </c>
      <c r="D12">
        <v>19.680999755859379</v>
      </c>
      <c r="E12" t="s">
        <v>26</v>
      </c>
      <c r="J12" s="2" t="s">
        <v>7</v>
      </c>
      <c r="K12" s="2" t="s">
        <v>11</v>
      </c>
      <c r="L12" s="2" t="str">
        <f t="shared" si="0"/>
        <v>13.776</v>
      </c>
      <c r="M12" s="2" t="str">
        <f t="shared" si="1"/>
        <v>19.681</v>
      </c>
      <c r="N12" s="2" t="str">
        <f t="shared" si="2"/>
        <v>+42.858</v>
      </c>
    </row>
    <row r="13" spans="1:14" x14ac:dyDescent="0.25">
      <c r="A13" t="s">
        <v>7</v>
      </c>
      <c r="B13" t="s">
        <v>8</v>
      </c>
      <c r="C13">
        <v>22.584</v>
      </c>
      <c r="D13">
        <v>19.166999816894531</v>
      </c>
      <c r="E13" t="s">
        <v>27</v>
      </c>
      <c r="J13" s="2" t="s">
        <v>8</v>
      </c>
      <c r="K13" s="2" t="s">
        <v>6</v>
      </c>
      <c r="L13" s="2" t="str">
        <f t="shared" si="0"/>
        <v>22.584</v>
      </c>
      <c r="M13" s="2" t="str">
        <f t="shared" si="1"/>
        <v>19.167</v>
      </c>
      <c r="N13" s="2" t="str">
        <f t="shared" si="2"/>
        <v>-15.131</v>
      </c>
    </row>
    <row r="14" spans="1:14" x14ac:dyDescent="0.25">
      <c r="A14" t="s">
        <v>8</v>
      </c>
      <c r="B14" t="s">
        <v>6</v>
      </c>
      <c r="C14">
        <v>22.765000000000001</v>
      </c>
      <c r="D14">
        <v>18.292999267578121</v>
      </c>
      <c r="E14" t="s">
        <v>28</v>
      </c>
      <c r="J14" s="2" t="s">
        <v>7</v>
      </c>
      <c r="K14" s="2" t="s">
        <v>8</v>
      </c>
      <c r="L14" s="2" t="str">
        <f t="shared" si="0"/>
        <v>22.765</v>
      </c>
      <c r="M14" s="2" t="str">
        <f t="shared" si="1"/>
        <v>18.293</v>
      </c>
      <c r="N14" s="2" t="str">
        <f t="shared" si="2"/>
        <v>-19.643</v>
      </c>
    </row>
    <row r="15" spans="1:14" x14ac:dyDescent="0.25">
      <c r="A15" t="s">
        <v>8</v>
      </c>
      <c r="B15" t="s">
        <v>7</v>
      </c>
      <c r="C15">
        <v>28.971</v>
      </c>
      <c r="D15">
        <v>16.48600006103516</v>
      </c>
      <c r="E15" t="s">
        <v>29</v>
      </c>
      <c r="J15" s="2" t="s">
        <v>5</v>
      </c>
      <c r="K15" s="2" t="s">
        <v>12</v>
      </c>
      <c r="L15" s="2" t="str">
        <f t="shared" si="0"/>
        <v>28.971</v>
      </c>
      <c r="M15" s="2" t="str">
        <f t="shared" si="1"/>
        <v>16.486</v>
      </c>
      <c r="N15" s="2" t="str">
        <f t="shared" si="2"/>
        <v>-43.093</v>
      </c>
    </row>
    <row r="16" spans="1:14" x14ac:dyDescent="0.25">
      <c r="A16" t="s">
        <v>12</v>
      </c>
      <c r="B16" t="s">
        <v>5</v>
      </c>
      <c r="C16">
        <v>14.394</v>
      </c>
      <c r="D16">
        <v>16.20100021362305</v>
      </c>
      <c r="E16" t="s">
        <v>30</v>
      </c>
      <c r="J16" s="2" t="s">
        <v>8</v>
      </c>
      <c r="K16" s="2" t="s">
        <v>7</v>
      </c>
      <c r="L16" s="2" t="str">
        <f t="shared" si="0"/>
        <v>14.394</v>
      </c>
      <c r="M16" s="2" t="str">
        <f>SUBSTITUTE(TEXT(D16,"0,000"),",",".")</f>
        <v>16.201</v>
      </c>
      <c r="N16" s="2" t="str">
        <f t="shared" si="2"/>
        <v>+12.550</v>
      </c>
    </row>
    <row r="17" spans="1:14" x14ac:dyDescent="0.25">
      <c r="A17" s="3" t="s">
        <v>5</v>
      </c>
      <c r="B17" s="3" t="s">
        <v>13</v>
      </c>
      <c r="C17" s="3">
        <v>14.763999999999999</v>
      </c>
      <c r="D17" s="3">
        <v>16.143999099731449</v>
      </c>
      <c r="E17" s="3" t="s">
        <v>31</v>
      </c>
      <c r="J17" s="4"/>
      <c r="K17" s="4"/>
      <c r="L17" s="4"/>
      <c r="M17" s="4"/>
      <c r="N17" s="4"/>
    </row>
    <row r="18" spans="1:14" x14ac:dyDescent="0.25">
      <c r="A18" s="3" t="s">
        <v>5</v>
      </c>
      <c r="B18" s="3" t="s">
        <v>12</v>
      </c>
      <c r="C18" s="3">
        <v>17.600000000000001</v>
      </c>
      <c r="D18" s="3">
        <v>15.20699977874756</v>
      </c>
      <c r="E18" s="3" t="s">
        <v>32</v>
      </c>
      <c r="J18" s="4"/>
      <c r="K18" s="4"/>
      <c r="L18" s="4"/>
      <c r="M18" s="4"/>
      <c r="N18" s="4"/>
    </row>
    <row r="19" spans="1:14" x14ac:dyDescent="0.25">
      <c r="A19" s="3" t="s">
        <v>10</v>
      </c>
      <c r="B19" s="3" t="s">
        <v>6</v>
      </c>
      <c r="C19" s="3">
        <v>14.521000000000001</v>
      </c>
      <c r="D19" s="3">
        <v>14.78600025177002</v>
      </c>
      <c r="E19" s="3" t="s">
        <v>33</v>
      </c>
      <c r="J19" s="4"/>
      <c r="K19" s="4"/>
      <c r="L19" s="4"/>
      <c r="M19" s="4"/>
      <c r="N19" s="4"/>
    </row>
    <row r="20" spans="1:14" x14ac:dyDescent="0.25">
      <c r="A20" s="3" t="s">
        <v>10</v>
      </c>
      <c r="B20" s="3" t="s">
        <v>14</v>
      </c>
      <c r="C20" s="3">
        <v>12.743</v>
      </c>
      <c r="D20" s="3">
        <v>14.564999580383301</v>
      </c>
      <c r="E20" s="3" t="s">
        <v>34</v>
      </c>
      <c r="J20" s="4"/>
      <c r="K20" s="4"/>
      <c r="L20" s="4"/>
      <c r="M20" s="4"/>
      <c r="N20" s="4"/>
    </row>
    <row r="21" spans="1:14" x14ac:dyDescent="0.25">
      <c r="A21" s="3" t="s">
        <v>8</v>
      </c>
      <c r="B21" s="3" t="s">
        <v>9</v>
      </c>
      <c r="C21" s="3">
        <v>15.227</v>
      </c>
      <c r="D21" s="3">
        <v>14.53600025177002</v>
      </c>
      <c r="E21" s="3" t="s">
        <v>35</v>
      </c>
      <c r="J21" s="4"/>
      <c r="K21" s="4"/>
      <c r="L21" s="4"/>
      <c r="M21" s="4"/>
      <c r="N21" s="4"/>
    </row>
    <row r="22" spans="1:14" x14ac:dyDescent="0.25">
      <c r="A22" s="3" t="s">
        <v>10</v>
      </c>
      <c r="B22" s="3" t="s">
        <v>9</v>
      </c>
      <c r="C22" s="3">
        <v>14.388999999999999</v>
      </c>
      <c r="D22" s="3">
        <v>13.965000152587891</v>
      </c>
      <c r="E22" s="3" t="s">
        <v>36</v>
      </c>
    </row>
    <row r="23" spans="1:14" x14ac:dyDescent="0.25">
      <c r="A23" s="3" t="s">
        <v>14</v>
      </c>
      <c r="B23" s="3" t="s">
        <v>5</v>
      </c>
      <c r="C23" s="3">
        <v>11.423999999999999</v>
      </c>
      <c r="D23" s="3">
        <v>11.597000122070311</v>
      </c>
      <c r="E23" s="3" t="s">
        <v>37</v>
      </c>
    </row>
    <row r="24" spans="1:14" x14ac:dyDescent="0.25">
      <c r="A24" s="3" t="s">
        <v>5</v>
      </c>
      <c r="B24" s="3" t="s">
        <v>10</v>
      </c>
      <c r="C24" s="3">
        <v>9.2769999999999992</v>
      </c>
      <c r="D24" s="3">
        <v>11.576999664306641</v>
      </c>
      <c r="E24" s="3" t="s">
        <v>38</v>
      </c>
    </row>
    <row r="25" spans="1:14" x14ac:dyDescent="0.25">
      <c r="A25" s="3" t="s">
        <v>9</v>
      </c>
      <c r="B25" s="3" t="s">
        <v>5</v>
      </c>
      <c r="C25" s="3">
        <v>9.09</v>
      </c>
      <c r="D25" s="3">
        <v>11.045999526977541</v>
      </c>
      <c r="E25" s="3" t="s">
        <v>39</v>
      </c>
    </row>
    <row r="26" spans="1:14" x14ac:dyDescent="0.25">
      <c r="A26" s="3" t="s">
        <v>8</v>
      </c>
      <c r="B26" s="3" t="s">
        <v>12</v>
      </c>
      <c r="C26" s="3">
        <v>17.477</v>
      </c>
      <c r="D26" s="3">
        <v>10.800999641418461</v>
      </c>
      <c r="E26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76B4-E848-4885-801D-03BF93F13BD8}">
  <dimension ref="A1:I26"/>
  <sheetViews>
    <sheetView topLeftCell="A10" workbookViewId="0">
      <selection activeCell="E23" sqref="E23"/>
    </sheetView>
  </sheetViews>
  <sheetFormatPr baseColWidth="10" defaultRowHeight="15" x14ac:dyDescent="0.25"/>
  <cols>
    <col min="2" max="2" width="19.42578125" customWidth="1"/>
    <col min="3" max="3" width="25.42578125" customWidth="1"/>
    <col min="4" max="4" width="1.42578125" customWidth="1"/>
    <col min="7" max="7" width="14.5703125" customWidth="1"/>
    <col min="8" max="8" width="14.140625" customWidth="1"/>
    <col min="9" max="9" width="22.28515625" customWidth="1"/>
  </cols>
  <sheetData>
    <row r="1" spans="1:9" x14ac:dyDescent="0.25">
      <c r="A1" s="5" t="s">
        <v>0</v>
      </c>
      <c r="B1" s="5" t="s">
        <v>41</v>
      </c>
      <c r="C1" s="5" t="s">
        <v>42</v>
      </c>
      <c r="G1" s="5" t="s">
        <v>0</v>
      </c>
      <c r="H1" s="5" t="s">
        <v>41</v>
      </c>
      <c r="I1" s="5" t="s">
        <v>42</v>
      </c>
    </row>
    <row r="2" spans="1:9" x14ac:dyDescent="0.25">
      <c r="A2" t="s">
        <v>7</v>
      </c>
      <c r="B2">
        <v>241.744219923</v>
      </c>
      <c r="C2">
        <v>284.18600463867188</v>
      </c>
      <c r="G2" s="6" t="s">
        <v>7</v>
      </c>
      <c r="H2" s="6" t="str">
        <f>SUBSTITUTE(TEXT(B2,"0,000"),",",".")</f>
        <v>241.744</v>
      </c>
      <c r="I2" s="6" t="str">
        <f>SUBSTITUTE(TEXT(C2,"0,000"),",",".")</f>
        <v>284.186</v>
      </c>
    </row>
    <row r="3" spans="1:9" x14ac:dyDescent="0.25">
      <c r="A3" t="s">
        <v>5</v>
      </c>
      <c r="B3">
        <v>228.87568898999999</v>
      </c>
      <c r="C3">
        <v>282.0830078125</v>
      </c>
      <c r="G3" s="6" t="s">
        <v>5</v>
      </c>
      <c r="H3" s="6" t="str">
        <f t="shared" ref="H3:H16" si="0">SUBSTITUTE(TEXT(B3,"0,000"),",",".")</f>
        <v>228.876</v>
      </c>
      <c r="I3" s="6" t="str">
        <f t="shared" ref="I3:I16" si="1">SUBSTITUTE(TEXT(C3,"0,000"),",",".")</f>
        <v>282.083</v>
      </c>
    </row>
    <row r="4" spans="1:9" x14ac:dyDescent="0.25">
      <c r="A4" t="s">
        <v>8</v>
      </c>
      <c r="B4">
        <v>172.27384050000001</v>
      </c>
      <c r="C4">
        <v>150.447998046875</v>
      </c>
      <c r="G4" s="6" t="s">
        <v>8</v>
      </c>
      <c r="H4" s="6" t="str">
        <f t="shared" si="0"/>
        <v>172.274</v>
      </c>
      <c r="I4" s="6" t="str">
        <f t="shared" si="1"/>
        <v>150.448</v>
      </c>
    </row>
    <row r="5" spans="1:9" x14ac:dyDescent="0.25">
      <c r="A5" t="s">
        <v>10</v>
      </c>
      <c r="B5">
        <v>94.301006709999996</v>
      </c>
      <c r="C5">
        <v>104.4960021972656</v>
      </c>
      <c r="G5" s="6" t="s">
        <v>10</v>
      </c>
      <c r="H5" s="6" t="str">
        <f t="shared" si="0"/>
        <v>94.301</v>
      </c>
      <c r="I5" s="6" t="str">
        <f t="shared" si="1"/>
        <v>104.496</v>
      </c>
    </row>
    <row r="6" spans="1:9" x14ac:dyDescent="0.25">
      <c r="A6" t="s">
        <v>11</v>
      </c>
      <c r="B6">
        <v>62.102269739999997</v>
      </c>
      <c r="C6">
        <v>74.341995239257813</v>
      </c>
      <c r="G6" s="6" t="s">
        <v>11</v>
      </c>
      <c r="H6" s="6" t="str">
        <f t="shared" si="0"/>
        <v>62.102</v>
      </c>
      <c r="I6" s="6" t="str">
        <f t="shared" si="1"/>
        <v>74.342</v>
      </c>
    </row>
    <row r="7" spans="1:9" x14ac:dyDescent="0.25">
      <c r="A7" t="s">
        <v>9</v>
      </c>
      <c r="B7">
        <v>75.894634199999999</v>
      </c>
      <c r="C7">
        <v>73.300003051757813</v>
      </c>
      <c r="G7" s="6" t="s">
        <v>9</v>
      </c>
      <c r="H7" s="6" t="str">
        <f t="shared" si="0"/>
        <v>75.895</v>
      </c>
      <c r="I7" s="6" t="str">
        <f t="shared" si="1"/>
        <v>73.300</v>
      </c>
    </row>
    <row r="8" spans="1:9" x14ac:dyDescent="0.25">
      <c r="A8" t="s">
        <v>14</v>
      </c>
      <c r="B8">
        <v>46.925647564999998</v>
      </c>
      <c r="C8">
        <v>53.411998748779297</v>
      </c>
      <c r="G8" s="6" t="s">
        <v>14</v>
      </c>
      <c r="H8" s="6" t="str">
        <f t="shared" si="0"/>
        <v>46.926</v>
      </c>
      <c r="I8" s="6" t="str">
        <f t="shared" si="1"/>
        <v>53.412</v>
      </c>
    </row>
    <row r="9" spans="1:9" x14ac:dyDescent="0.25">
      <c r="A9" t="s">
        <v>12</v>
      </c>
      <c r="B9">
        <v>40.020508792999998</v>
      </c>
      <c r="C9">
        <v>41.743999481201172</v>
      </c>
      <c r="G9" s="6" t="s">
        <v>12</v>
      </c>
      <c r="H9" s="6" t="str">
        <f t="shared" si="0"/>
        <v>40.021</v>
      </c>
      <c r="I9" s="6" t="str">
        <f t="shared" si="1"/>
        <v>41.744</v>
      </c>
    </row>
    <row r="10" spans="1:9" x14ac:dyDescent="0.25">
      <c r="A10" t="s">
        <v>43</v>
      </c>
      <c r="B10">
        <v>26.498280561000001</v>
      </c>
      <c r="C10">
        <v>38.450000762939453</v>
      </c>
      <c r="G10" s="6" t="s">
        <v>43</v>
      </c>
      <c r="H10" s="6" t="str">
        <f t="shared" si="0"/>
        <v>26.498</v>
      </c>
      <c r="I10" s="6" t="str">
        <f t="shared" si="1"/>
        <v>38.450</v>
      </c>
    </row>
    <row r="11" spans="1:9" x14ac:dyDescent="0.25">
      <c r="A11" t="s">
        <v>15</v>
      </c>
      <c r="B11">
        <v>23.595538072</v>
      </c>
      <c r="C11">
        <v>33.402000427246087</v>
      </c>
      <c r="G11" s="6" t="s">
        <v>15</v>
      </c>
      <c r="H11" s="6" t="str">
        <f t="shared" si="0"/>
        <v>23.596</v>
      </c>
      <c r="I11" s="6" t="str">
        <f t="shared" si="1"/>
        <v>33.402</v>
      </c>
    </row>
    <row r="12" spans="1:9" x14ac:dyDescent="0.25">
      <c r="A12" t="s">
        <v>44</v>
      </c>
      <c r="B12">
        <v>21.784703558</v>
      </c>
      <c r="C12">
        <v>30.139999389648441</v>
      </c>
      <c r="G12" s="6" t="s">
        <v>44</v>
      </c>
      <c r="H12" s="6" t="str">
        <f t="shared" si="0"/>
        <v>21.785</v>
      </c>
      <c r="I12" s="6" t="str">
        <f t="shared" si="1"/>
        <v>30.140</v>
      </c>
    </row>
    <row r="13" spans="1:9" x14ac:dyDescent="0.25">
      <c r="A13" t="s">
        <v>45</v>
      </c>
      <c r="B13">
        <v>14.092214395999999</v>
      </c>
      <c r="C13">
        <v>12.507999420166019</v>
      </c>
      <c r="G13" s="6" t="s">
        <v>45</v>
      </c>
      <c r="H13" s="6" t="str">
        <f t="shared" si="0"/>
        <v>14.092</v>
      </c>
      <c r="I13" s="6" t="str">
        <f t="shared" si="1"/>
        <v>12.508</v>
      </c>
    </row>
    <row r="14" spans="1:9" x14ac:dyDescent="0.25">
      <c r="A14" t="s">
        <v>46</v>
      </c>
      <c r="B14">
        <v>7.3842627420000007</v>
      </c>
      <c r="C14">
        <v>11.36899948120117</v>
      </c>
      <c r="G14" s="6" t="s">
        <v>46</v>
      </c>
      <c r="H14" s="6" t="str">
        <f t="shared" si="0"/>
        <v>7.384</v>
      </c>
      <c r="I14" s="6" t="str">
        <f t="shared" si="1"/>
        <v>11.369</v>
      </c>
    </row>
    <row r="15" spans="1:9" x14ac:dyDescent="0.25">
      <c r="A15" t="s">
        <v>47</v>
      </c>
      <c r="B15">
        <v>13.022405853</v>
      </c>
      <c r="C15">
        <v>10.38799953460693</v>
      </c>
      <c r="G15" s="6" t="s">
        <v>47</v>
      </c>
      <c r="H15" s="6" t="str">
        <f t="shared" si="0"/>
        <v>13.022</v>
      </c>
      <c r="I15" s="6" t="str">
        <f t="shared" si="1"/>
        <v>10.388</v>
      </c>
    </row>
    <row r="16" spans="1:9" x14ac:dyDescent="0.25">
      <c r="A16" t="s">
        <v>48</v>
      </c>
      <c r="B16">
        <v>7.6899442880000004</v>
      </c>
      <c r="C16">
        <v>9.4539995193481445</v>
      </c>
      <c r="G16" s="6" t="s">
        <v>48</v>
      </c>
      <c r="H16" s="6" t="str">
        <f t="shared" si="0"/>
        <v>7.690</v>
      </c>
      <c r="I16" s="6" t="str">
        <f t="shared" si="1"/>
        <v>9.454</v>
      </c>
    </row>
    <row r="17" spans="1:3" x14ac:dyDescent="0.25">
      <c r="A17" s="3" t="s">
        <v>49</v>
      </c>
      <c r="B17" s="3">
        <v>4.4821579369999993</v>
      </c>
      <c r="C17" s="3">
        <v>6.9900002479553223</v>
      </c>
    </row>
    <row r="18" spans="1:3" x14ac:dyDescent="0.25">
      <c r="A18" s="3" t="s">
        <v>50</v>
      </c>
      <c r="B18" s="3">
        <v>3.8991036060000002</v>
      </c>
      <c r="C18" s="3">
        <v>4.0489997863769531</v>
      </c>
    </row>
    <row r="19" spans="1:3" x14ac:dyDescent="0.25">
      <c r="A19" s="3" t="s">
        <v>6</v>
      </c>
      <c r="B19" s="3">
        <v>13.286663314</v>
      </c>
      <c r="C19" s="3">
        <v>4.0409998893737793</v>
      </c>
    </row>
    <row r="20" spans="1:3" x14ac:dyDescent="0.25">
      <c r="A20" s="3" t="s">
        <v>51</v>
      </c>
      <c r="B20" s="3">
        <v>2.7763945479999999</v>
      </c>
      <c r="C20" s="3">
        <v>3.0789999961853032</v>
      </c>
    </row>
    <row r="21" spans="1:3" x14ac:dyDescent="0.25">
      <c r="A21" s="3" t="s">
        <v>13</v>
      </c>
      <c r="B21" s="3">
        <v>2.303418304</v>
      </c>
      <c r="C21" s="3">
        <v>2.5010001659393311</v>
      </c>
    </row>
    <row r="22" spans="1:3" x14ac:dyDescent="0.25">
      <c r="A22" s="3" t="s">
        <v>52</v>
      </c>
      <c r="B22" s="3">
        <v>4.2261857679999997</v>
      </c>
      <c r="C22" s="3">
        <v>2.2869999408721919</v>
      </c>
    </row>
    <row r="23" spans="1:3" x14ac:dyDescent="0.25">
      <c r="A23" s="3" t="s">
        <v>53</v>
      </c>
      <c r="B23" s="3">
        <v>1.811999731</v>
      </c>
      <c r="C23" s="3">
        <v>2.166000127792358</v>
      </c>
    </row>
    <row r="24" spans="1:3" x14ac:dyDescent="0.25">
      <c r="A24" s="3" t="s">
        <v>54</v>
      </c>
      <c r="B24" s="3">
        <v>1.600934686</v>
      </c>
      <c r="C24" s="3">
        <v>2.1439998149871831</v>
      </c>
    </row>
    <row r="25" spans="1:3" x14ac:dyDescent="0.25">
      <c r="A25" s="3" t="s">
        <v>55</v>
      </c>
      <c r="B25" s="3">
        <v>1.901484884</v>
      </c>
      <c r="C25" s="3">
        <v>1.998000025749207</v>
      </c>
    </row>
    <row r="26" spans="1:3" x14ac:dyDescent="0.25">
      <c r="A26" s="3" t="s">
        <v>56</v>
      </c>
      <c r="B26" s="3">
        <v>1.703582884</v>
      </c>
      <c r="C26" s="3">
        <v>1.6449999809265139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C88D-91FE-49A1-A6A9-BF5CA21D1408}">
  <dimension ref="A1:J26"/>
  <sheetViews>
    <sheetView tabSelected="1" workbookViewId="0">
      <selection activeCell="M9" sqref="M9"/>
    </sheetView>
  </sheetViews>
  <sheetFormatPr baseColWidth="10" defaultRowHeight="15" x14ac:dyDescent="0.25"/>
  <cols>
    <col min="10" max="10" width="23.140625" customWidth="1"/>
  </cols>
  <sheetData>
    <row r="1" spans="1:10" x14ac:dyDescent="0.25">
      <c r="A1" s="5" t="s">
        <v>1</v>
      </c>
      <c r="B1" s="5" t="s">
        <v>57</v>
      </c>
      <c r="C1" s="5" t="s">
        <v>58</v>
      </c>
      <c r="H1" s="5" t="s">
        <v>1</v>
      </c>
      <c r="I1" s="5" t="s">
        <v>57</v>
      </c>
      <c r="J1" s="5" t="s">
        <v>58</v>
      </c>
    </row>
    <row r="2" spans="1:10" x14ac:dyDescent="0.25">
      <c r="A2" t="s">
        <v>5</v>
      </c>
      <c r="B2">
        <v>214.83896806199999</v>
      </c>
      <c r="C2">
        <v>272.21499633789063</v>
      </c>
      <c r="H2" s="6" t="s">
        <v>5</v>
      </c>
      <c r="I2" s="6" t="str">
        <f>SUBSTITUTE(TEXT(B2,"0,000"),",",".")</f>
        <v>214.839</v>
      </c>
      <c r="J2" s="6" t="str">
        <f>SUBSTITUTE(TEXT(C2,"0,000"),",",".")</f>
        <v>272.215</v>
      </c>
    </row>
    <row r="3" spans="1:10" x14ac:dyDescent="0.25">
      <c r="A3" t="s">
        <v>6</v>
      </c>
      <c r="B3">
        <v>238.92779552499999</v>
      </c>
      <c r="C3">
        <v>267.09500122070313</v>
      </c>
      <c r="H3" s="6" t="s">
        <v>6</v>
      </c>
      <c r="I3" s="6" t="str">
        <f t="shared" ref="I3:I16" si="0">SUBSTITUTE(TEXT(B3,"0,000"),",",".")</f>
        <v>238.928</v>
      </c>
      <c r="J3" s="6" t="str">
        <f t="shared" ref="J3:J16" si="1">SUBSTITUTE(TEXT(C3,"0,000"),",",".")</f>
        <v>267.095</v>
      </c>
    </row>
    <row r="4" spans="1:10" x14ac:dyDescent="0.25">
      <c r="A4" t="s">
        <v>9</v>
      </c>
      <c r="B4">
        <v>99.152279063000009</v>
      </c>
      <c r="C4">
        <v>98.148002624511719</v>
      </c>
      <c r="H4" s="6" t="s">
        <v>9</v>
      </c>
      <c r="I4" s="6" t="str">
        <f t="shared" si="0"/>
        <v>99.152</v>
      </c>
      <c r="J4" s="6" t="str">
        <f t="shared" si="1"/>
        <v>98.148</v>
      </c>
    </row>
    <row r="5" spans="1:10" x14ac:dyDescent="0.25">
      <c r="A5" t="s">
        <v>7</v>
      </c>
      <c r="B5">
        <v>78.766671079000005</v>
      </c>
      <c r="C5">
        <v>71.654998779296875</v>
      </c>
      <c r="H5" s="6" t="s">
        <v>7</v>
      </c>
      <c r="I5" s="6" t="str">
        <f t="shared" si="0"/>
        <v>78.767</v>
      </c>
      <c r="J5" s="6" t="str">
        <f t="shared" si="1"/>
        <v>71.655</v>
      </c>
    </row>
    <row r="6" spans="1:10" x14ac:dyDescent="0.25">
      <c r="A6" t="s">
        <v>14</v>
      </c>
      <c r="B6">
        <v>62.277181728000002</v>
      </c>
      <c r="C6">
        <v>66.739997863769531</v>
      </c>
      <c r="H6" s="6" t="s">
        <v>14</v>
      </c>
      <c r="I6" s="6" t="str">
        <f t="shared" si="0"/>
        <v>62.277</v>
      </c>
      <c r="J6" s="6" t="str">
        <f t="shared" si="1"/>
        <v>66.740</v>
      </c>
    </row>
    <row r="7" spans="1:10" x14ac:dyDescent="0.25">
      <c r="A7" t="s">
        <v>8</v>
      </c>
      <c r="B7">
        <v>64.363004986999997</v>
      </c>
      <c r="C7">
        <v>64.472000122070313</v>
      </c>
      <c r="H7" s="6" t="s">
        <v>8</v>
      </c>
      <c r="I7" s="6" t="str">
        <f t="shared" si="0"/>
        <v>64.363</v>
      </c>
      <c r="J7" s="6" t="str">
        <f t="shared" si="1"/>
        <v>64.472</v>
      </c>
    </row>
    <row r="8" spans="1:10" x14ac:dyDescent="0.25">
      <c r="A8" t="s">
        <v>12</v>
      </c>
      <c r="B8">
        <v>66.028343214000003</v>
      </c>
      <c r="C8">
        <v>51.937000274658203</v>
      </c>
      <c r="H8" s="6" t="s">
        <v>12</v>
      </c>
      <c r="I8" s="6" t="str">
        <f t="shared" si="0"/>
        <v>66.028</v>
      </c>
      <c r="J8" s="6" t="str">
        <f t="shared" si="1"/>
        <v>51.937</v>
      </c>
    </row>
    <row r="9" spans="1:10" x14ac:dyDescent="0.25">
      <c r="A9" t="s">
        <v>10</v>
      </c>
      <c r="B9">
        <v>52.667407255999997</v>
      </c>
      <c r="C9">
        <v>50.230998992919922</v>
      </c>
      <c r="H9" s="6" t="s">
        <v>10</v>
      </c>
      <c r="I9" s="6" t="str">
        <f t="shared" si="0"/>
        <v>52.667</v>
      </c>
      <c r="J9" s="6" t="str">
        <f t="shared" si="1"/>
        <v>50.231</v>
      </c>
    </row>
    <row r="10" spans="1:10" x14ac:dyDescent="0.25">
      <c r="A10" t="s">
        <v>15</v>
      </c>
      <c r="B10">
        <v>26.019656475000001</v>
      </c>
      <c r="C10">
        <v>42.798000335693359</v>
      </c>
      <c r="H10" s="6" t="s">
        <v>15</v>
      </c>
      <c r="I10" s="6" t="str">
        <f t="shared" si="0"/>
        <v>26.020</v>
      </c>
      <c r="J10" s="6" t="str">
        <f t="shared" si="1"/>
        <v>42.798</v>
      </c>
    </row>
    <row r="11" spans="1:10" x14ac:dyDescent="0.25">
      <c r="A11" t="s">
        <v>11</v>
      </c>
      <c r="B11">
        <v>27.424347024999999</v>
      </c>
      <c r="C11">
        <v>37.634998321533203</v>
      </c>
      <c r="H11" s="6" t="s">
        <v>11</v>
      </c>
      <c r="I11" s="6" t="str">
        <f t="shared" si="0"/>
        <v>27.424</v>
      </c>
      <c r="J11" s="6" t="str">
        <f t="shared" si="1"/>
        <v>37.635</v>
      </c>
    </row>
    <row r="12" spans="1:10" x14ac:dyDescent="0.25">
      <c r="A12" t="s">
        <v>49</v>
      </c>
      <c r="B12">
        <v>28.167985732999998</v>
      </c>
      <c r="C12">
        <v>31.860000610351559</v>
      </c>
      <c r="H12" s="6" t="s">
        <v>49</v>
      </c>
      <c r="I12" s="6" t="str">
        <f t="shared" si="0"/>
        <v>28.168</v>
      </c>
      <c r="J12" s="6" t="str">
        <f t="shared" si="1"/>
        <v>31.860</v>
      </c>
    </row>
    <row r="13" spans="1:10" x14ac:dyDescent="0.25">
      <c r="A13" t="s">
        <v>13</v>
      </c>
      <c r="B13">
        <v>28.984597246</v>
      </c>
      <c r="C13">
        <v>28.17399978637695</v>
      </c>
      <c r="H13" s="6" t="s">
        <v>13</v>
      </c>
      <c r="I13" s="6" t="str">
        <f t="shared" si="0"/>
        <v>28.985</v>
      </c>
      <c r="J13" s="6" t="str">
        <f t="shared" si="1"/>
        <v>28.174</v>
      </c>
    </row>
    <row r="14" spans="1:10" x14ac:dyDescent="0.25">
      <c r="A14" t="s">
        <v>44</v>
      </c>
      <c r="B14">
        <v>23.956962664999999</v>
      </c>
      <c r="C14">
        <v>22.875</v>
      </c>
      <c r="H14" s="6" t="s">
        <v>44</v>
      </c>
      <c r="I14" s="6" t="str">
        <f t="shared" si="0"/>
        <v>23.957</v>
      </c>
      <c r="J14" s="6" t="str">
        <f t="shared" si="1"/>
        <v>22.875</v>
      </c>
    </row>
    <row r="15" spans="1:10" x14ac:dyDescent="0.25">
      <c r="A15" t="s">
        <v>43</v>
      </c>
      <c r="B15">
        <v>14.520500463999999</v>
      </c>
      <c r="C15">
        <v>16.690999984741211</v>
      </c>
      <c r="H15" s="6" t="s">
        <v>43</v>
      </c>
      <c r="I15" s="6" t="str">
        <f t="shared" si="0"/>
        <v>14.521</v>
      </c>
      <c r="J15" s="6" t="str">
        <f t="shared" si="1"/>
        <v>16.691</v>
      </c>
    </row>
    <row r="16" spans="1:10" x14ac:dyDescent="0.25">
      <c r="A16" t="s">
        <v>46</v>
      </c>
      <c r="B16">
        <v>7.918858009</v>
      </c>
      <c r="C16">
        <v>13.63099956512451</v>
      </c>
      <c r="H16" s="6" t="s">
        <v>46</v>
      </c>
      <c r="I16" s="6" t="str">
        <f t="shared" si="0"/>
        <v>7.919</v>
      </c>
      <c r="J16" s="6" t="str">
        <f t="shared" si="1"/>
        <v>13.631</v>
      </c>
    </row>
    <row r="17" spans="1:3" x14ac:dyDescent="0.25">
      <c r="A17" s="3" t="s">
        <v>59</v>
      </c>
      <c r="B17" s="3">
        <v>9.2123370379999994</v>
      </c>
      <c r="C17" s="3">
        <v>10.66199970245361</v>
      </c>
    </row>
    <row r="18" spans="1:3" x14ac:dyDescent="0.25">
      <c r="A18" s="3" t="s">
        <v>48</v>
      </c>
      <c r="B18" s="3">
        <v>6.3605894750000003</v>
      </c>
      <c r="C18" s="3">
        <v>9.6499996185302734</v>
      </c>
    </row>
    <row r="19" spans="1:3" x14ac:dyDescent="0.25">
      <c r="A19" s="3" t="s">
        <v>53</v>
      </c>
      <c r="B19" s="3">
        <v>3.9914827430000002</v>
      </c>
      <c r="C19" s="3">
        <v>6.9470000267028809</v>
      </c>
    </row>
    <row r="20" spans="1:3" x14ac:dyDescent="0.25">
      <c r="A20" s="3" t="s">
        <v>60</v>
      </c>
      <c r="B20" s="3">
        <v>5.0816888929999999</v>
      </c>
      <c r="C20" s="3">
        <v>6.3480000495910636</v>
      </c>
    </row>
    <row r="21" spans="1:3" x14ac:dyDescent="0.25">
      <c r="A21" s="3" t="s">
        <v>50</v>
      </c>
      <c r="B21" s="3">
        <v>3.6778780609999999</v>
      </c>
      <c r="C21" s="3">
        <v>6.2569999694824219</v>
      </c>
    </row>
    <row r="22" spans="1:3" x14ac:dyDescent="0.25">
      <c r="A22" s="3" t="s">
        <v>55</v>
      </c>
      <c r="B22" s="3">
        <v>3.3718560659999999</v>
      </c>
      <c r="C22" s="3">
        <v>6.060999870300293</v>
      </c>
    </row>
    <row r="23" spans="1:3" x14ac:dyDescent="0.25">
      <c r="A23" s="3" t="s">
        <v>61</v>
      </c>
      <c r="B23" s="3">
        <v>4.7368401499999999</v>
      </c>
      <c r="C23" s="3">
        <v>6.0279998779296884</v>
      </c>
    </row>
    <row r="24" spans="1:3" x14ac:dyDescent="0.25">
      <c r="A24" s="3" t="s">
        <v>62</v>
      </c>
      <c r="B24" s="3">
        <v>3.5456626770000002</v>
      </c>
      <c r="C24" s="3">
        <v>5.6519999504089364</v>
      </c>
    </row>
    <row r="25" spans="1:3" x14ac:dyDescent="0.25">
      <c r="A25" s="3" t="s">
        <v>63</v>
      </c>
      <c r="B25" s="3">
        <v>4.5423764680000014</v>
      </c>
      <c r="C25" s="3">
        <v>5.0019998550415039</v>
      </c>
    </row>
    <row r="26" spans="1:3" x14ac:dyDescent="0.25">
      <c r="A26" s="3" t="s">
        <v>64</v>
      </c>
      <c r="B26" s="3">
        <v>4.1272894899999999</v>
      </c>
      <c r="C26" s="3">
        <v>3.96399998664856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Top Bilateral trade forecast</vt:lpstr>
      <vt:lpstr>Top Export forecast</vt:lpstr>
      <vt:lpstr>Top import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2026-07-28T23:37:58Z</dcterms:created>
  <dcterms:modified xsi:type="dcterms:W3CDTF">2026-07-31T22:41:39Z</dcterms:modified>
</cp:coreProperties>
</file>